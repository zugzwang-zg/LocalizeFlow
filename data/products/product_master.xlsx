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85187fbde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Master" sheetId="1" r:id="Ra4941f8ca1f14bf0"/>
    <x:sheet xmlns:r="http://schemas.openxmlformats.org/officeDocument/2006/relationships" name="Source Registry" sheetId="2" r:id="Rcf59fb58b28b4354"/>
    <x:sheet xmlns:r="http://schemas.openxmlformats.org/officeDocument/2006/relationships" name="Field Guide" sheetId="3" r:id="R60330b0bfd464b62"/>
    <x:sheet xmlns:r="http://schemas.openxmlformats.org/officeDocument/2006/relationships" name="QA Summary" sheetId="4" r:id="R2f5d049774e8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36F"/>
      <x:name val="Carlito"/>
    </x:font>
    <x:font>
      <x:b/>
      <x:sz val="10"/>
      <x:color rgb="FFFFFFFF"/>
      <x:name val="Carlito"/>
    </x:font>
    <x:font>
      <x:sz val="9"/>
      <x:color rgb="FF21302D"/>
      <x:name val="Carlito"/>
    </x:font>
    <x:font>
      <x:b/>
      <x:sz val="11"/>
      <x:color rgb="FFFFFFFF"/>
      <x:name val="Carlito"/>
    </x:font>
    <x:font>
      <x:sz val="10"/>
      <x:color rgb="FF21302D"/>
      <x:name val="Carlito"/>
    </x:font>
    <x:font>
      <x:i/>
      <x:sz val="9"/>
      <x:color rgb="FF2130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F63"/>
      </x:patternFill>
    </x:fill>
    <x:fill>
      <x:patternFill patternType="solid">
        <x:fgColor rgb="FFF5F1E8"/>
      </x:patternFill>
    </x:fill>
    <x:fill>
      <x:patternFill patternType="solid">
        <x:fgColor rgb="FFD98C6A"/>
      </x:patternFill>
    </x:fill>
    <x:fill>
      <x:patternFill patternType="solid">
        <x:fgColor rgb="FFF7E4DA"/>
      </x:patternFill>
    </x:fill>
  </x:fills>
  <x:borders count="6">
    <x:border/>
    <x:border>
      <x:left style="thin">
        <x:color rgb="FFD4DDD9"/>
      </x:left>
      <x:top style="thin">
        <x:color rgb="FFD4DDD9"/>
      </x:top>
      <x:bottom style="thin">
        <x:color rgb="FFD4DDD9"/>
      </x:bottom>
    </x:border>
    <x:border>
      <x:top style="thin">
        <x:color rgb="FFD4DDD9"/>
      </x:top>
      <x:bottom style="thin">
        <x:color rgb="FFD4DDD9"/>
      </x:bottom>
    </x:border>
    <x:border>
      <x:right style="thin">
        <x:color rgb="FFD4DDD9"/>
      </x:right>
      <x:top style="thin">
        <x:color rgb="FFD4DDD9"/>
      </x:top>
      <x:bottom style="thin">
        <x:color rgb="FFD4DDD9"/>
      </x:bottom>
    </x:border>
    <x:border>
      <x:bottom style="thin">
        <x:color rgb="FFD4DDD9"/>
      </x:bottom>
    </x:border>
    <x:border>
      <x:top style="thin">
        <x:color rgb="FFD4DDD9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F6F63"/>
      </x:font>
      <x:fill>
        <x:patternFill patternType="solid">
          <x:bgColor rgb="FFDDF2E4"/>
        </x:patternFill>
      </x:fill>
    </x:dxf>
    <x:dxf>
      <x:font>
        <x:b/>
        <x:color rgb="FFA33A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9db55c00d4cc3" /><Relationship Type="http://schemas.openxmlformats.org/officeDocument/2006/relationships/theme" Target="/xl/theme/theme1.xml" Id="Rcba91a65ec7d4c43" /><Relationship Type="http://schemas.openxmlformats.org/officeDocument/2006/relationships/sharedStrings" Target="/xl/sharedStrings.xml" Id="R3cd5dca22b964bc6" /><Relationship Type="http://schemas.openxmlformats.org/officeDocument/2006/relationships/worksheet" Target="/xl/worksheets/sheet1.xml" Id="Ra4941f8ca1f14bf0" /><Relationship Type="http://schemas.openxmlformats.org/officeDocument/2006/relationships/worksheet" Target="/xl/worksheets/sheet2.xml" Id="Rcf59fb58b28b4354" /><Relationship Type="http://schemas.openxmlformats.org/officeDocument/2006/relationships/worksheet" Target="/xl/worksheets/sheet3.xml" Id="R60330b0bfd464b62" /><Relationship Type="http://schemas.openxmlformats.org/officeDocument/2006/relationships/worksheet" Target="/xl/worksheets/sheet4.xml" Id="R2f5d049774e842f8" /></Relationships>
</file>

<file path=xl/tables/table1.xml><?xml version="1.0" encoding="utf-8"?>
<x:table xmlns:x="http://schemas.openxmlformats.org/spreadsheetml/2006/main" id="1" name="ProductMasterTable" displayName="ProductMasterTable" ref="A3:P8" headerRowCount="1" totalsRowCount="0" totalsRowShown="0">
  <x:autoFilter ref="A3:P8"/>
  <x:tableColumns count="16">
    <x:tableColumn id="1" name="sku"/>
    <x:tableColumn id="2" name="product_name_zh"/>
    <x:tableColumn id="3" name="category"/>
    <x:tableColumn id="4" name="volume"/>
    <x:tableColumn id="5" name="ingredients"/>
    <x:tableColumn id="6" name="target_users"/>
    <x:tableColumn id="7" name="usage"/>
    <x:tableColumn id="8" name="verified_features"/>
    <x:tableColumn id="9" name="allowed_benefits"/>
    <x:tableColumn id="10" name="prohibited_claims"/>
    <x:tableColumn id="11" name="packaging"/>
    <x:tableColumn id="12" name="price"/>
    <x:tableColumn id="13" name="price_mxn"/>
    <x:tableColumn id="14" name="variants"/>
    <x:tableColumn id="15" name="target_markets"/>
    <x:tableColumn id="16" name="sourc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ourceRegistryTable" displayName="SourceRegistryTable" ref="A3:H14" headerRowCount="1" totalsRowCount="0" totalsRowShown="0">
  <x:tableColumns count="8">
    <x:tableColumn id="1" name="source_id"/>
    <x:tableColumn id="2" name="source_type"/>
    <x:tableColumn id="3" name="applies_to"/>
    <x:tableColumn id="4" name="coverage"/>
    <x:tableColumn id="5" name="version"/>
    <x:tableColumn id="6" name="created_date"/>
    <x:tableColumn id="7" name="status"/>
    <x:tableColumn id="8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GuideTable" displayName="FieldGuideTable" ref="A3:E19" headerRowCount="1" totalsRowCount="0" totalsRowShown="0">
  <x:tableColumns count="5">
    <x:tableColumn id="1" name="field"/>
    <x:tableColumn id="2" name="definition"/>
    <x:tableColumn id="3" name="type_or_unit"/>
    <x:tableColumn id="4" name="editing_rule"/>
    <x:tableColumn id="5" name="examp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385ac52e2f46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8c234b22fd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79154439fc45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8" hidden="0" customWidth="1"/>
    <x:col min="5" max="5" width="44" hidden="0" customWidth="1"/>
    <x:col min="6" max="6" width="34" hidden="0" customWidth="1"/>
    <x:col min="7" max="7" width="38" hidden="0" customWidth="1"/>
    <x:col min="8" max="8" width="40" hidden="0" customWidth="1"/>
    <x:col min="9" max="9" width="40" hidden="0" customWidth="1"/>
    <x:col min="10" max="10" width="42" hidden="0" customWidth="1"/>
    <x:col min="11" max="11" width="34" hidden="0" customWidth="1"/>
    <x:col min="12" max="12" width="12" hidden="0" customWidth="1"/>
    <x:col min="13" max="13" width="13" hidden="0" customWidth="1"/>
    <x:col min="14" max="14" width="18" hidden="0" customWidth="1"/>
    <x:col min="15" max="15" width="16" hidden="0" customWidth="1"/>
    <x:col min="16" max="16" width="38" hidden="0" customWidth="1"/>
  </x:cols>
  <x:sheetData>
    <x:row r="1" ht="30" customHeight="1">
      <x:c r="A1" s="4" t="str">
        <x:v>Mirevane Botanics｜商品主表 v1.0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8" t="str">
        <x:v>全部数据均为项目模拟。price以USD计，price_mxn以MXN计；商品事实与允许功效来自不同模拟来源，营销建议不在本表中。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34" customHeight="1">
      <x:c r="A3" s="20" t="str">
        <x:v>sku</x:v>
      </x:c>
      <x:c r="B3" s="21" t="str">
        <x:v>product_name_zh</x:v>
      </x:c>
      <x:c r="C3" s="21" t="str">
        <x:v>category</x:v>
      </x:c>
      <x:c r="D3" s="21" t="str">
        <x:v>volume</x:v>
      </x:c>
      <x:c r="E3" s="21" t="str">
        <x:v>ingredients</x:v>
      </x:c>
      <x:c r="F3" s="21" t="str">
        <x:v>target_users</x:v>
      </x:c>
      <x:c r="G3" s="21" t="str">
        <x:v>usage</x:v>
      </x:c>
      <x:c r="H3" s="21" t="str">
        <x:v>verified_features</x:v>
      </x:c>
      <x:c r="I3" s="21" t="str">
        <x:v>allowed_benefits</x:v>
      </x:c>
      <x:c r="J3" s="21" t="str">
        <x:v>prohibited_claims</x:v>
      </x:c>
      <x:c r="K3" s="21" t="str">
        <x:v>packaging</x:v>
      </x:c>
      <x:c r="L3" s="21" t="str">
        <x:v>price</x:v>
      </x:c>
      <x:c r="M3" s="21" t="str">
        <x:v>price_mxn</x:v>
      </x:c>
      <x:c r="N3" s="21" t="str">
        <x:v>variants</x:v>
      </x:c>
      <x:c r="O3" s="21" t="str">
        <x:v>target_markets</x:v>
      </x:c>
      <x:c r="P3" s="22" t="str">
        <x:v>source</x:v>
      </x:c>
    </x:row>
    <x:row r="4" ht="92" customHeight="1">
      <x:c r="A4" s="28" t="str">
        <x:v>MV-CLEAN-001</x:v>
      </x:c>
      <x:c r="B4" s="28" t="str">
        <x:v>云柔氨基酸洁面乳</x:v>
      </x:c>
      <x:c r="C4" s="28" t="str">
        <x:v>面部洁面乳</x:v>
      </x:c>
      <x:c r="D4" s="28" t="str">
        <x:v>120 mL</x:v>
      </x:c>
      <x:c r="E4" s="28" t="str">
        <x:v>水；甘油；椰油酰甘氨酸钠；椰油酰胺丙基甜菜碱；泛醇；甜菜碱；尿囊素；柠檬酸；苯甲酸钠；山梨酸钾</x:v>
      </x:c>
      <x:c r="F4" s="28" t="str">
        <x:v>希望获得温和日常清洁体验的中性、干性或混合性肌肤成年人</x:v>
      </x:c>
      <x:c r="G4" s="28" t="str">
        <x:v>取1—2泵于湿润面部，轻柔按摩约30秒后用清水洗净；避开眼周</x:v>
      </x:c>
      <x:c r="H4" s="28" t="str">
        <x:v>无添加香精；不含硫酸盐表面活性剂；模拟规格pH 5.5±0.5；泵式包装</x:v>
      </x:c>
      <x:c r="I4" s="28" t="str">
        <x:v>帮助洗去皮肤表面的污垢和多余油脂；清洁后肌肤感觉舒适；适合日常清洁步骤</x:v>
      </x:c>
      <x:c r="J4" s="28" t="str">
        <x:v>治疗痤疮或湿疹；深层排毒；永久缩小毛孔；对所有敏感肌绝对安全；低敏；临床证明</x:v>
      </x:c>
      <x:c r="K4" s="28" t="str">
        <x:v>120 mL PET泵瓶；可回收性取决于当地设施</x:v>
      </x:c>
      <x:c r="L4" s="32" t="n">
        <x:v>16</x:v>
      </x:c>
      <x:c r="M4" s="32" t="n">
        <x:v>319</x:v>
      </x:c>
      <x:c r="N4" s="28" t="str">
        <x:v>仅120 mL</x:v>
      </x:c>
      <x:c r="O4" s="28" t="str">
        <x:v>US; MX</x:v>
      </x:c>
      <x:c r="P4" s="28" t="str">
        <x:v>SIM-SPEC-CLEAN-V1; SIM-CLAIM-CLEAN-V1</x:v>
      </x:c>
    </x:row>
    <x:row r="5" ht="92" customHeight="1">
      <x:c r="A5" s="29" t="str">
        <x:v>MV-SERUM-001</x:v>
      </x:c>
      <x:c r="B5" s="29" t="str">
        <x:v>水衡保湿精华</x:v>
      </x:c>
      <x:c r="C5" s="29" t="str">
        <x:v>保湿精华</x:v>
      </x:c>
      <x:c r="D5" s="29" t="str">
        <x:v>30 mL</x:v>
      </x:c>
      <x:c r="E5" s="29" t="str">
        <x:v>水；甘油；丙二醇；透明质酸钠；泛醇；甜菜碱；羟乙基纤维素；柠檬酸；苯甲酸钠；山梨酸钾</x:v>
      </x:c>
      <x:c r="F5" s="29" t="str">
        <x:v>希望增加日常补水步骤、偏好轻盈质地的成年人</x:v>
      </x:c>
      <x:c r="G5" s="29" t="str">
        <x:v>洁面后取1—2泵涂抹于面部和颈部，再使用面霜；避开眼周</x:v>
      </x:c>
      <x:c r="H5" s="29" t="str">
        <x:v>无添加香精；水基凝露质地；透明质酸钠与泛醇列于模拟配方；按压泵包装</x:v>
      </x:c>
      <x:c r="I5" s="29" t="str">
        <x:v>帮助肌肤感觉水润；适合作为面霜前的补水步骤；使用后肌肤感觉柔软</x:v>
      </x:c>
      <x:c r="J5" s="29" t="str">
        <x:v>24小时或72小时保湿；修复受损皮肤屏障；消除细纹；逆转衰老；医用级；临床证明</x:v>
      </x:c>
      <x:c r="K5" s="29" t="str">
        <x:v>30 mL不透明PP按压泵瓶</x:v>
      </x:c>
      <x:c r="L5" s="33" t="n">
        <x:v>24</x:v>
      </x:c>
      <x:c r="M5" s="33" t="n">
        <x:v>479</x:v>
      </x:c>
      <x:c r="N5" s="29" t="str">
        <x:v>仅30 mL</x:v>
      </x:c>
      <x:c r="O5" s="29" t="str">
        <x:v>US; MX</x:v>
      </x:c>
      <x:c r="P5" s="29" t="str">
        <x:v>SIM-SPEC-SERUM-V1; SIM-CLAIM-SERUM-V1</x:v>
      </x:c>
    </x:row>
    <x:row r="6" ht="92" customHeight="1">
      <x:c r="A6" s="29" t="str">
        <x:v>MV-CREAM-001</x:v>
      </x:c>
      <x:c r="B6" s="29" t="str">
        <x:v>静润无香面霜</x:v>
      </x:c>
      <x:c r="C6" s="29" t="str">
        <x:v>面部保湿霜</x:v>
      </x:c>
      <x:c r="D6" s="29" t="str">
        <x:v>50 mL</x:v>
      </x:c>
      <x:c r="E6" s="29" t="str">
        <x:v>水；甘油；辛酸/癸酸甘油三酯；角鲨烷；鲸蜡硬脂醇；柠檬酸甘油硬脂酸酯；泛醇；β-葡聚糖；黄原胶；苯甲酸钠；山梨酸钾；柠檬酸</x:v>
      </x:c>
      <x:c r="F6" s="29" t="str">
        <x:v>希望使用无香基础面霜的中性、干性或混合性肌肤成年人</x:v>
      </x:c>
      <x:c r="G6" s="29" t="str">
        <x:v>取适量涂抹于清洁后的面部和颈部；日间使用后另行涂抹防晒产品</x:v>
      </x:c>
      <x:c r="H6" s="29" t="str">
        <x:v>无添加香精；含角鲨烷、泛醇和β-葡聚糖；乳霜质地</x:v>
      </x:c>
      <x:c r="I6" s="29" t="str">
        <x:v>帮助肌肤感觉柔软、滋润；为日常护肤步骤补充保湿；无添加香精</x:v>
      </x:c>
      <x:c r="J6" s="29" t="str">
        <x:v>治疗皮炎或湿疹；修复或重建皮肤屏障；立即消除脱皮或泛红；不致敏；零刺激；医生推荐</x:v>
      </x:c>
      <x:c r="K6" s="29" t="str">
        <x:v>50 mL PP罐，带内盖</x:v>
      </x:c>
      <x:c r="L6" s="33" t="n">
        <x:v>22</x:v>
      </x:c>
      <x:c r="M6" s="33" t="n">
        <x:v>439</x:v>
      </x:c>
      <x:c r="N6" s="29" t="str">
        <x:v>仅50 mL</x:v>
      </x:c>
      <x:c r="O6" s="29" t="str">
        <x:v>US; MX</x:v>
      </x:c>
      <x:c r="P6" s="29" t="str">
        <x:v>SIM-SPEC-CREAM-V1; SIM-CLAIM-CREAM-V1</x:v>
      </x:c>
    </x:row>
    <x:row r="7" ht="92" customHeight="1">
      <x:c r="A7" s="29" t="str">
        <x:v>MV-HAND-001</x:v>
      </x:c>
      <x:c r="B7" s="29" t="str">
        <x:v>柔护无香护手霜</x:v>
      </x:c>
      <x:c r="C7" s="29" t="str">
        <x:v>护手霜</x:v>
      </x:c>
      <x:c r="D7" s="29" t="str">
        <x:v>60 mL</x:v>
      </x:c>
      <x:c r="E7" s="29" t="str">
        <x:v>水；甘油；乳木果脂；辛酸/癸酸甘油三酯；鲸蜡硬脂醇；甘油硬脂酸酯；泛醇；尿囊素；生育酚；苯甲酸钠；山梨酸钾</x:v>
      </x:c>
      <x:c r="F7" s="29" t="str">
        <x:v>因日常洗手而希望补充手部保湿的成年人</x:v>
      </x:c>
      <x:c r="G7" s="29" t="str">
        <x:v>取适量按摩双手及指缘，按需重复使用；仅限外用</x:v>
      </x:c>
      <x:c r="H7" s="29" t="str">
        <x:v>无添加香精；含甘油、乳木果脂、泛醇和尿囊素；软管包装</x:v>
      </x:c>
      <x:c r="I7" s="29" t="str">
        <x:v>帮助手部肌肤感觉柔软、滋润；适合在日常洗手后使用；无添加香精</x:v>
      </x:c>
      <x:c r="J7" s="29" t="str">
        <x:v>治愈皲裂；修复伤口；抗菌；消炎；预防感染；形成医用防护屏障；一次使用全天保湿</x:v>
      </x:c>
      <x:c r="K7" s="29" t="str">
        <x:v>60 mL铝制软管，PP旋盖；可回收性取决于当地设施</x:v>
      </x:c>
      <x:c r="L7" s="33" t="n">
        <x:v>12</x:v>
      </x:c>
      <x:c r="M7" s="33" t="n">
        <x:v>239</x:v>
      </x:c>
      <x:c r="N7" s="29" t="str">
        <x:v>仅60 mL</x:v>
      </x:c>
      <x:c r="O7" s="29" t="str">
        <x:v>US; MX</x:v>
      </x:c>
      <x:c r="P7" s="29" t="str">
        <x:v>SIM-SPEC-HAND-V1; SIM-CLAIM-HAND-V1</x:v>
      </x:c>
    </x:row>
    <x:row r="8" ht="92" customHeight="1">
      <x:c r="A8" s="29" t="str">
        <x:v>MV-KIT-001</x:v>
      </x:c>
      <x:c r="B8" s="29" t="str">
        <x:v>轻行基础护肤套装</x:v>
      </x:c>
      <x:c r="C8" s="29" t="str">
        <x:v>旅行装基础护肤套装</x:v>
      </x:c>
      <x:c r="D8" s="29" t="str">
        <x:v>洁面30 mL + 精华10 mL + 面霜15 mL；合计55 mL</x:v>
      </x:c>
      <x:c r="E8" s="29" t="str">
        <x:v>各产品沿用MV-CLEAN-001、MV-SERUM-001、MV-CREAM-001的对应模拟配方</x:v>
      </x:c>
      <x:c r="F8" s="29" t="str">
        <x:v>希望使用便携式基础清洁、补水和保湿组合的成年人</x:v>
      </x:c>
      <x:c r="G8" s="29" t="str">
        <x:v>按洁面乳、保湿精华、面霜顺序使用；各单品用法与正装一致</x:v>
      </x:c>
      <x:c r="H8" s="29" t="str">
        <x:v>包含3件迷你装；三件产品均无添加香精；外盒集中收纳</x:v>
      </x:c>
      <x:c r="I8" s="29" t="str">
        <x:v>组合基础清洁、补水和保湿步骤；适合希望精简携带日常护肤产品的用户</x:v>
      </x:c>
      <x:c r="J8" s="29" t="str">
        <x:v>TSA批准；航空公司认证；保证可以登机；解决所有皮肤问题；预防晒伤或过敏；限量；虚构折扣</x:v>
      </x:c>
      <x:c r="K8" s="29" t="str">
        <x:v>纸质外盒；30 mL洁面泵瓶、10 mL精华泵瓶、15 mL面霜罐</x:v>
      </x:c>
      <x:c r="L8" s="33" t="n">
        <x:v>32</x:v>
      </x:c>
      <x:c r="M8" s="33" t="n">
        <x:v>639</x:v>
      </x:c>
      <x:c r="N8" s="29" t="str">
        <x:v>仅三件套配置</x:v>
      </x:c>
      <x:c r="O8" s="29" t="str">
        <x:v>US; MX</x:v>
      </x:c>
      <x:c r="P8" s="29" t="str">
        <x:v>SIM-SPEC-KIT-V1; SIM-CLAIM-KIT-V1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e385ac52e2f46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0" hidden="0" customWidth="1"/>
    <x:col min="4" max="4" width="45" hidden="0" customWidth="1"/>
    <x:col min="5" max="5" width="11" hidden="0" customWidth="1"/>
    <x:col min="6" max="6" width="15" hidden="0" customWidth="1"/>
    <x:col min="7" max="7" width="16" hidden="0" customWidth="1"/>
    <x:col min="8" max="8" width="42" hidden="0" customWidth="1"/>
  </x:cols>
  <x:sheetData>
    <x:row r="1" ht="30" customHeight="1">
      <x:c r="A1" s="34" t="str">
        <x:v>来源登记表｜模拟资料可追溯说明</x:v>
      </x:c>
      <x:c r="B1" s="34"/>
      <x:c r="C1" s="34"/>
      <x:c r="D1" s="34"/>
      <x:c r="E1" s="34"/>
      <x:c r="F1" s="34"/>
      <x:c r="G1" s="34"/>
      <x:c r="H1" s="34"/>
    </x:row>
    <x:row r="2" ht="36" customHeight="1">
      <x:c r="A2" s="8" t="str">
        <x:v>每个商品字段均通过source列关联到本表。所有来源均由项目创建，不得表述为真实企业文件、检测报告或外部认证。</x:v>
      </x:c>
      <x:c r="B2" s="8"/>
      <x:c r="C2" s="8"/>
      <x:c r="D2" s="8"/>
      <x:c r="E2" s="8"/>
      <x:c r="F2" s="8"/>
      <x:c r="G2" s="8"/>
      <x:c r="H2" s="8"/>
    </x:row>
    <x:row r="3" ht="30" customHeight="1">
      <x:c r="A3" s="37" t="str">
        <x:v>source_id</x:v>
      </x:c>
      <x:c r="B3" s="37" t="str">
        <x:v>source_type</x:v>
      </x:c>
      <x:c r="C3" s="37" t="str">
        <x:v>applies_to</x:v>
      </x:c>
      <x:c r="D3" s="37" t="str">
        <x:v>coverage</x:v>
      </x:c>
      <x:c r="E3" s="37" t="str">
        <x:v>version</x:v>
      </x:c>
      <x:c r="F3" s="37" t="str">
        <x:v>created_date</x:v>
      </x:c>
      <x:c r="G3" s="37" t="str">
        <x:v>status</x:v>
      </x:c>
      <x:c r="H3" s="37" t="str">
        <x:v>notes</x:v>
      </x:c>
    </x:row>
    <x:row r="4" ht="54" customHeight="1">
      <x:c r="A4" s="28" t="str">
        <x:v>SIM-BRAND-V1</x:v>
      </x:c>
      <x:c r="B4" s="28" t="str">
        <x:v>项目模拟品牌设定</x:v>
      </x:c>
      <x:c r="C4" s="28" t="str">
        <x:v>Mirevane Botanics</x:v>
      </x:c>
      <x:c r="D4" s="28" t="str">
        <x:v>品牌名称、定位、目标用户与市场范围</x:v>
      </x:c>
      <x:c r="E4" s="28" t="str">
        <x:v>1.0</x:v>
      </x:c>
      <x:c r="F4" s="41" t="n">
        <x:v>46231</x:v>
      </x:c>
      <x:c r="G4" s="28" t="str">
        <x:v>模拟资料</x:v>
      </x:c>
      <x:c r="H4" s="28" t="str">
        <x:v>非外部证据；不得用于商业商标或合规判断</x:v>
      </x:c>
    </x:row>
    <x:row r="5" ht="54" customHeight="1">
      <x:c r="A5" s="29" t="str">
        <x:v>SIM-SPEC-CLEAN-V1</x:v>
      </x:c>
      <x:c r="B5" s="29" t="str">
        <x:v>项目模拟产品规格</x:v>
      </x:c>
      <x:c r="C5" s="29" t="str">
        <x:v>MV-CLEAN-001</x:v>
      </x:c>
      <x:c r="D5" s="29" t="str">
        <x:v>品类、容量、成分、用户、用法、特征、包装、价格、变体、市场</x:v>
      </x:c>
      <x:c r="E5" s="29" t="str">
        <x:v>1.0</x:v>
      </x:c>
      <x:c r="F5" s="42" t="n">
        <x:v>46231</x:v>
      </x:c>
      <x:c r="G5" s="29" t="str">
        <x:v>模拟资料</x:v>
      </x:c>
      <x:c r="H5" s="29" t="str">
        <x:v>后续阶段拆分为最小事实单元</x:v>
      </x:c>
    </x:row>
    <x:row r="6" ht="54" customHeight="1">
      <x:c r="A6" s="29" t="str">
        <x:v>SIM-CLAIM-CLEAN-V1</x:v>
      </x:c>
      <x:c r="B6" s="29" t="str">
        <x:v>项目模拟宣称审核</x:v>
      </x:c>
      <x:c r="C6" s="29" t="str">
        <x:v>MV-CLEAN-001</x:v>
      </x:c>
      <x:c r="D6" s="29" t="str">
        <x:v>允许功效与禁止表达</x:v>
      </x:c>
      <x:c r="E6" s="29" t="str">
        <x:v>1.0</x:v>
      </x:c>
      <x:c r="F6" s="42" t="n">
        <x:v>46231</x:v>
      </x:c>
      <x:c r="G6" s="29" t="str">
        <x:v>模拟资料</x:v>
      </x:c>
      <x:c r="H6" s="29" t="str">
        <x:v>不是临床或外部功效证明</x:v>
      </x:c>
    </x:row>
    <x:row r="7" ht="54" customHeight="1">
      <x:c r="A7" s="29" t="str">
        <x:v>SIM-SPEC-SERUM-V1</x:v>
      </x:c>
      <x:c r="B7" s="29" t="str">
        <x:v>项目模拟产品规格</x:v>
      </x:c>
      <x:c r="C7" s="29" t="str">
        <x:v>MV-SERUM-001</x:v>
      </x:c>
      <x:c r="D7" s="29" t="str">
        <x:v>品类、容量、成分、用户、用法、特征、包装、价格、变体、市场</x:v>
      </x:c>
      <x:c r="E7" s="29" t="str">
        <x:v>1.0</x:v>
      </x:c>
      <x:c r="F7" s="42" t="n">
        <x:v>46231</x:v>
      </x:c>
      <x:c r="G7" s="29" t="str">
        <x:v>模拟资料</x:v>
      </x:c>
      <x:c r="H7" s="29" t="str">
        <x:v>后续阶段拆分为最小事实单元</x:v>
      </x:c>
    </x:row>
    <x:row r="8" ht="54" customHeight="1">
      <x:c r="A8" s="29" t="str">
        <x:v>SIM-CLAIM-SERUM-V1</x:v>
      </x:c>
      <x:c r="B8" s="29" t="str">
        <x:v>项目模拟宣称审核</x:v>
      </x:c>
      <x:c r="C8" s="29" t="str">
        <x:v>MV-SERUM-001</x:v>
      </x:c>
      <x:c r="D8" s="29" t="str">
        <x:v>允许功效与禁止表达</x:v>
      </x:c>
      <x:c r="E8" s="29" t="str">
        <x:v>1.0</x:v>
      </x:c>
      <x:c r="F8" s="42" t="n">
        <x:v>46231</x:v>
      </x:c>
      <x:c r="G8" s="29" t="str">
        <x:v>模拟资料</x:v>
      </x:c>
      <x:c r="H8" s="29" t="str">
        <x:v>不是临床或外部功效证明</x:v>
      </x:c>
    </x:row>
    <x:row r="9" ht="54" customHeight="1">
      <x:c r="A9" s="29" t="str">
        <x:v>SIM-SPEC-CREAM-V1</x:v>
      </x:c>
      <x:c r="B9" s="29" t="str">
        <x:v>项目模拟产品规格</x:v>
      </x:c>
      <x:c r="C9" s="29" t="str">
        <x:v>MV-CREAM-001</x:v>
      </x:c>
      <x:c r="D9" s="29" t="str">
        <x:v>品类、容量、成分、用户、用法、特征、包装、价格、变体、市场</x:v>
      </x:c>
      <x:c r="E9" s="29" t="str">
        <x:v>1.0</x:v>
      </x:c>
      <x:c r="F9" s="42" t="n">
        <x:v>46231</x:v>
      </x:c>
      <x:c r="G9" s="29" t="str">
        <x:v>模拟资料</x:v>
      </x:c>
      <x:c r="H9" s="29" t="str">
        <x:v>后续阶段拆分为最小事实单元</x:v>
      </x:c>
    </x:row>
    <x:row r="10" ht="54" customHeight="1">
      <x:c r="A10" s="29" t="str">
        <x:v>SIM-CLAIM-CREAM-V1</x:v>
      </x:c>
      <x:c r="B10" s="29" t="str">
        <x:v>项目模拟宣称审核</x:v>
      </x:c>
      <x:c r="C10" s="29" t="str">
        <x:v>MV-CREAM-001</x:v>
      </x:c>
      <x:c r="D10" s="29" t="str">
        <x:v>允许功效与禁止表达</x:v>
      </x:c>
      <x:c r="E10" s="29" t="str">
        <x:v>1.0</x:v>
      </x:c>
      <x:c r="F10" s="42" t="n">
        <x:v>46231</x:v>
      </x:c>
      <x:c r="G10" s="29" t="str">
        <x:v>模拟资料</x:v>
      </x:c>
      <x:c r="H10" s="29" t="str">
        <x:v>不是临床或外部功效证明</x:v>
      </x:c>
    </x:row>
    <x:row r="11" ht="54" customHeight="1">
      <x:c r="A11" s="29" t="str">
        <x:v>SIM-SPEC-HAND-V1</x:v>
      </x:c>
      <x:c r="B11" s="29" t="str">
        <x:v>项目模拟产品规格</x:v>
      </x:c>
      <x:c r="C11" s="29" t="str">
        <x:v>MV-HAND-001</x:v>
      </x:c>
      <x:c r="D11" s="29" t="str">
        <x:v>品类、容量、成分、用户、用法、特征、包装、价格、变体、市场</x:v>
      </x:c>
      <x:c r="E11" s="29" t="str">
        <x:v>1.0</x:v>
      </x:c>
      <x:c r="F11" s="42" t="n">
        <x:v>46231</x:v>
      </x:c>
      <x:c r="G11" s="29" t="str">
        <x:v>模拟资料</x:v>
      </x:c>
      <x:c r="H11" s="29" t="str">
        <x:v>后续阶段拆分为最小事实单元</x:v>
      </x:c>
    </x:row>
    <x:row r="12" ht="54" customHeight="1">
      <x:c r="A12" s="29" t="str">
        <x:v>SIM-CLAIM-HAND-V1</x:v>
      </x:c>
      <x:c r="B12" s="29" t="str">
        <x:v>项目模拟宣称审核</x:v>
      </x:c>
      <x:c r="C12" s="29" t="str">
        <x:v>MV-HAND-001</x:v>
      </x:c>
      <x:c r="D12" s="29" t="str">
        <x:v>允许功效与禁止表达</x:v>
      </x:c>
      <x:c r="E12" s="29" t="str">
        <x:v>1.0</x:v>
      </x:c>
      <x:c r="F12" s="42" t="n">
        <x:v>46231</x:v>
      </x:c>
      <x:c r="G12" s="29" t="str">
        <x:v>模拟资料</x:v>
      </x:c>
      <x:c r="H12" s="29" t="str">
        <x:v>不是临床或外部功效证明</x:v>
      </x:c>
    </x:row>
    <x:row r="13" ht="54" customHeight="1">
      <x:c r="A13" s="29" t="str">
        <x:v>SIM-SPEC-KIT-V1</x:v>
      </x:c>
      <x:c r="B13" s="29" t="str">
        <x:v>项目模拟产品规格</x:v>
      </x:c>
      <x:c r="C13" s="29" t="str">
        <x:v>MV-KIT-001</x:v>
      </x:c>
      <x:c r="D13" s="29" t="str">
        <x:v>套装组成、容量、成分引用、用户、用法、特征、包装、价格、变体、市场</x:v>
      </x:c>
      <x:c r="E13" s="29" t="str">
        <x:v>1.0</x:v>
      </x:c>
      <x:c r="F13" s="42" t="n">
        <x:v>46231</x:v>
      </x:c>
      <x:c r="G13" s="29" t="str">
        <x:v>模拟资料</x:v>
      </x:c>
      <x:c r="H13" s="29" t="str">
        <x:v>组件配方引用三个正装SKU</x:v>
      </x:c>
    </x:row>
    <x:row r="14" ht="54" customHeight="1">
      <x:c r="A14" s="40" t="str">
        <x:v>SIM-CLAIM-KIT-V1</x:v>
      </x:c>
      <x:c r="B14" s="40" t="str">
        <x:v>项目模拟宣称审核</x:v>
      </x:c>
      <x:c r="C14" s="40" t="str">
        <x:v>MV-KIT-001</x:v>
      </x:c>
      <x:c r="D14" s="40" t="str">
        <x:v>允许功效与禁止表达</x:v>
      </x:c>
      <x:c r="E14" s="40" t="str">
        <x:v>1.0</x:v>
      </x:c>
      <x:c r="F14" s="43" t="n">
        <x:v>46231</x:v>
      </x:c>
      <x:c r="G14" s="40" t="str">
        <x:v>模拟资料</x:v>
      </x:c>
      <x:c r="H14" s="40" t="str">
        <x:v>不构成航空或运输认证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8c234b22fd42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48" hidden="0" customWidth="1"/>
    <x:col min="5" max="5" width="40" hidden="0" customWidth="1"/>
  </x:cols>
  <x:sheetData>
    <x:row r="1" ht="30" customHeight="1">
      <x:c r="A1" s="2" t="str">
        <x:v>字段说明与维护规则</x:v>
      </x:c>
      <x:c r="B1" s="2"/>
      <x:c r="C1" s="2"/>
      <x:c r="D1" s="2"/>
      <x:c r="E1" s="2"/>
    </x:row>
    <x:row r="2" ht="36" customHeight="1">
      <x:c r="A2" s="7" t="str">
        <x:v>Product Master是阶段2的商品资料主来源。任何字段修改都应同步商品卡，并在Source Registry中更新版本。</x:v>
      </x:c>
      <x:c r="B2" s="7"/>
      <x:c r="C2" s="7"/>
      <x:c r="D2" s="7"/>
      <x:c r="E2" s="7"/>
    </x:row>
    <x:row r="3" ht="28" customHeight="1">
      <x:c r="A3" s="44" t="str">
        <x:v>field</x:v>
      </x:c>
      <x:c r="B3" s="44" t="str">
        <x:v>definition</x:v>
      </x:c>
      <x:c r="C3" s="44" t="str">
        <x:v>type_or_unit</x:v>
      </x:c>
      <x:c r="D3" s="44" t="str">
        <x:v>editing_rule</x:v>
      </x:c>
      <x:c r="E3" s="44" t="str">
        <x:v>example</x:v>
      </x:c>
    </x:row>
    <x:row r="4" ht="48" customHeight="1">
      <x:c r="A4" s="28" t="str">
        <x:v>sku</x:v>
      </x:c>
      <x:c r="B4" s="28" t="str">
        <x:v>商品唯一标识</x:v>
      </x:c>
      <x:c r="C4" s="28" t="str">
        <x:v>文本</x:v>
      </x:c>
      <x:c r="D4" s="28" t="str">
        <x:v>不可重复；修改时同步商品卡与后续事实库</x:v>
      </x:c>
      <x:c r="E4" s="28" t="str">
        <x:v>MV-CLEAN-001</x:v>
      </x:c>
    </x:row>
    <x:row r="5" ht="48" customHeight="1">
      <x:c r="A5" s="29" t="str">
        <x:v>product_name_zh</x:v>
      </x:c>
      <x:c r="B5" s="29" t="str">
        <x:v>中文商品名称</x:v>
      </x:c>
      <x:c r="C5" s="29" t="str">
        <x:v>文本</x:v>
      </x:c>
      <x:c r="D5" s="29" t="str">
        <x:v>不得使用真实品牌商品名</x:v>
      </x:c>
      <x:c r="E5" s="29" t="str">
        <x:v>云柔氨基酸洁面乳</x:v>
      </x:c>
    </x:row>
    <x:row r="6" ht="48" customHeight="1">
      <x:c r="A6" s="29" t="str">
        <x:v>category</x:v>
      </x:c>
      <x:c r="B6" s="29" t="str">
        <x:v>商品品类</x:v>
      </x:c>
      <x:c r="C6" s="29" t="str">
        <x:v>文本</x:v>
      </x:c>
      <x:c r="D6" s="29" t="str">
        <x:v>使用稳定、可筛选的品类名称</x:v>
      </x:c>
      <x:c r="E6" s="29" t="str">
        <x:v>面部洁面乳</x:v>
      </x:c>
    </x:row>
    <x:row r="7" ht="48" customHeight="1">
      <x:c r="A7" s="29" t="str">
        <x:v>volume</x:v>
      </x:c>
      <x:c r="B7" s="29" t="str">
        <x:v>净含量或套装组成</x:v>
      </x:c>
      <x:c r="C7" s="29" t="str">
        <x:v>文本（mL）</x:v>
      </x:c>
      <x:c r="D7" s="29" t="str">
        <x:v>数值与单位必须同时存在；套装需列出组件</x:v>
      </x:c>
      <x:c r="E7" s="29" t="str">
        <x:v>120 mL</x:v>
      </x:c>
    </x:row>
    <x:row r="8" ht="48" customHeight="1">
      <x:c r="A8" s="29" t="str">
        <x:v>ingredients</x:v>
      </x:c>
      <x:c r="B8" s="29" t="str">
        <x:v>模拟成分表</x:v>
      </x:c>
      <x:c r="C8" s="29" t="str">
        <x:v>分号分隔文本</x:v>
      </x:c>
      <x:c r="D8" s="29" t="str">
        <x:v>按配方顺序记录，不得由模型补写</x:v>
      </x:c>
      <x:c r="E8" s="29" t="str">
        <x:v>水；甘油；…</x:v>
      </x:c>
    </x:row>
    <x:row r="9" ht="48" customHeight="1">
      <x:c r="A9" s="29" t="str">
        <x:v>target_users</x:v>
      </x:c>
      <x:c r="B9" s="29" t="str">
        <x:v>目标使用人群</x:v>
      </x:c>
      <x:c r="C9" s="29" t="str">
        <x:v>文本</x:v>
      </x:c>
      <x:c r="D9" s="29" t="str">
        <x:v>描述需求与使用情境，不做医学诊断</x:v>
      </x:c>
      <x:c r="E9" s="29" t="str">
        <x:v>希望获得温和日常清洁体验的成年人</x:v>
      </x:c>
    </x:row>
    <x:row r="10" ht="48" customHeight="1">
      <x:c r="A10" s="29" t="str">
        <x:v>usage</x:v>
      </x:c>
      <x:c r="B10" s="29" t="str">
        <x:v>使用方法</x:v>
      </x:c>
      <x:c r="C10" s="29" t="str">
        <x:v>文本</x:v>
      </x:c>
      <x:c r="D10" s="29" t="str">
        <x:v>包含用量、顺序和必要注意事项</x:v>
      </x:c>
      <x:c r="E10" s="29" t="str">
        <x:v>取1—2泵…</x:v>
      </x:c>
    </x:row>
    <x:row r="11" ht="48" customHeight="1">
      <x:c r="A11" s="29" t="str">
        <x:v>verified_features</x:v>
      </x:c>
      <x:c r="B11" s="29" t="str">
        <x:v>由模拟规格直接支持的特征</x:v>
      </x:c>
      <x:c r="C11" s="29" t="str">
        <x:v>分号分隔文本</x:v>
      </x:c>
      <x:c r="D11" s="29" t="str">
        <x:v>只写规格事实，不混入消费者洞察</x:v>
      </x:c>
      <x:c r="E11" s="29" t="str">
        <x:v>无添加香精；泵式包装</x:v>
      </x:c>
    </x:row>
    <x:row r="12" ht="48" customHeight="1">
      <x:c r="A12" s="29" t="str">
        <x:v>allowed_benefits</x:v>
      </x:c>
      <x:c r="B12" s="29" t="str">
        <x:v>项目内部允许的谨慎功效表达</x:v>
      </x:c>
      <x:c r="C12" s="29" t="str">
        <x:v>分号分隔文本</x:v>
      </x:c>
      <x:c r="D12" s="29" t="str">
        <x:v>不得升级为治疗、临床或绝对化宣称</x:v>
      </x:c>
      <x:c r="E12" s="29" t="str">
        <x:v>帮助肌肤感觉水润</x:v>
      </x:c>
    </x:row>
    <x:row r="13" ht="48" customHeight="1">
      <x:c r="A13" s="29" t="str">
        <x:v>prohibited_claims</x:v>
      </x:c>
      <x:c r="B13" s="29" t="str">
        <x:v>明确禁止输出的表达</x:v>
      </x:c>
      <x:c r="C13" s="29" t="str">
        <x:v>分号分隔文本</x:v>
      </x:c>
      <x:c r="D13" s="29" t="str">
        <x:v>用于后续规则检查和事实核验</x:v>
      </x:c>
      <x:c r="E13" s="29" t="str">
        <x:v>治疗湿疹；临床证明</x:v>
      </x:c>
    </x:row>
    <x:row r="14" ht="48" customHeight="1">
      <x:c r="A14" s="29" t="str">
        <x:v>packaging</x:v>
      </x:c>
      <x:c r="B14" s="29" t="str">
        <x:v>包装形式与材料</x:v>
      </x:c>
      <x:c r="C14" s="29" t="str">
        <x:v>文本</x:v>
      </x:c>
      <x:c r="D14" s="29" t="str">
        <x:v>环保或可回收表述必须加条件</x:v>
      </x:c>
      <x:c r="E14" s="29" t="str">
        <x:v>120 mL PET泵瓶</x:v>
      </x:c>
    </x:row>
    <x:row r="15" ht="48" customHeight="1">
      <x:c r="A15" s="29" t="str">
        <x:v>price</x:v>
      </x:c>
      <x:c r="B15" s="29" t="str">
        <x:v>美国市场模拟建议零售价</x:v>
      </x:c>
      <x:c r="C15" s="29" t="str">
        <x:v>数值（USD）</x:v>
      </x:c>
      <x:c r="D15" s="29" t="str">
        <x:v>保持数字类型；促销价另行核验</x:v>
      </x:c>
      <x:c r="E15" s="29" t="str">
        <x:v>16.00</x:v>
      </x:c>
    </x:row>
    <x:row r="16" ht="48" customHeight="1">
      <x:c r="A16" s="29" t="str">
        <x:v>price_mxn</x:v>
      </x:c>
      <x:c r="B16" s="29" t="str">
        <x:v>墨西哥市场模拟建议零售价</x:v>
      </x:c>
      <x:c r="C16" s="29" t="str">
        <x:v>数值（MXN）</x:v>
      </x:c>
      <x:c r="D16" s="29" t="str">
        <x:v>保持数字类型；不是汇率公式</x:v>
      </x:c>
      <x:c r="E16" s="29" t="str">
        <x:v>319.00</x:v>
      </x:c>
    </x:row>
    <x:row r="17" ht="48" customHeight="1">
      <x:c r="A17" s="29" t="str">
        <x:v>variants</x:v>
      </x:c>
      <x:c r="B17" s="29" t="str">
        <x:v>规格或组合变体</x:v>
      </x:c>
      <x:c r="C17" s="29" t="str">
        <x:v>文本</x:v>
      </x:c>
      <x:c r="D17" s="29" t="str">
        <x:v>无变体时明确写“仅…”</x:v>
      </x:c>
      <x:c r="E17" s="29" t="str">
        <x:v>仅120 mL</x:v>
      </x:c>
    </x:row>
    <x:row r="18" ht="48" customHeight="1">
      <x:c r="A18" s="29" t="str">
        <x:v>target_markets</x:v>
      </x:c>
      <x:c r="B18" s="29" t="str">
        <x:v>目标市场代码</x:v>
      </x:c>
      <x:c r="C18" s="29" t="str">
        <x:v>文本</x:v>
      </x:c>
      <x:c r="D18" s="29" t="str">
        <x:v>MVP固定为US与MX</x:v>
      </x:c>
      <x:c r="E18" s="29" t="str">
        <x:v>US; MX</x:v>
      </x:c>
    </x:row>
    <x:row r="19" ht="48" customHeight="1">
      <x:c r="A19" s="40" t="str">
        <x:v>source</x:v>
      </x:c>
      <x:c r="B19" s="40" t="str">
        <x:v>支持该行信息的来源ID</x:v>
      </x:c>
      <x:c r="C19" s="40" t="str">
        <x:v>分号分隔文本</x:v>
      </x:c>
      <x:c r="D19" s="40" t="str">
        <x:v>必须能在Source Registry中找到</x:v>
      </x:c>
      <x:c r="E19" s="40" t="str">
        <x:v>SIM-SPEC-CLEAN-V1; SIM-CLAIM-CLEAN-V1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179154439fc45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2" t="str">
        <x:v>阶段2｜工作簿完整性检查</x:v>
      </x:c>
      <x:c r="B1" s="2"/>
      <x:c r="C1" s="2"/>
      <x:c r="D1" s="2"/>
    </x:row>
    <x:row r="2" ht="36" customHeight="1">
      <x:c r="A2" s="7" t="str">
        <x:v>结果由公式引用Product Master与Source Registry；跨文件文字一致性另由阶段验收脚本检查。</x:v>
      </x:c>
      <x:c r="B2" s="7"/>
      <x:c r="C2" s="7"/>
      <x:c r="D2" s="7"/>
    </x:row>
    <x:row r="3" ht="28" customHeight="1">
      <x:c r="A3" s="44" t="str">
        <x:v>check</x:v>
      </x:c>
      <x:c r="B3" s="44" t="str">
        <x:v>result</x:v>
      </x:c>
      <x:c r="C3" s="44" t="str">
        <x:v>target</x:v>
      </x:c>
      <x:c r="D3" s="44" t="str">
        <x:v>status</x:v>
      </x:c>
    </x:row>
    <x:row r="4" ht="28" customHeight="1">
      <x:c r="A4" s="49" t="str">
        <x:v>SKU数量</x:v>
      </x:c>
      <x:c r="B4" s="49" t="n">
        <x:f>COUNTA('Product Master'!A4:A8)</x:f>
        <x:v>5</x:v>
      </x:c>
      <x:c r="C4" s="49" t="n">
        <x:v>5</x:v>
      </x:c>
      <x:c r="D4" s="49" t="str">
        <x:f>IF(B4=C4,"PASS","CHECK")</x:f>
        <x:v>PASS</x:v>
      </x:c>
    </x:row>
    <x:row r="5" ht="28" customHeight="1">
      <x:c r="A5" s="50" t="str">
        <x:v>必填单元格空白数</x:v>
      </x:c>
      <x:c r="B5" s="50" t="n">
        <x:f>COUNTBLANK('Product Master'!A4:P8)</x:f>
        <x:v>0</x:v>
      </x:c>
      <x:c r="C5" s="50" t="n">
        <x:v>0</x:v>
      </x:c>
      <x:c r="D5" s="50" t="str">
        <x:f>IF(B5=C5,"PASS","CHECK")</x:f>
        <x:v>PASS</x:v>
      </x:c>
    </x:row>
    <x:row r="6" ht="28" customHeight="1">
      <x:c r="A6" s="50" t="str">
        <x:v>覆盖美国市场的SKU数</x:v>
      </x:c>
      <x:c r="B6" s="50" t="n">
        <x:f>COUNTIF('Product Master'!O4:O8,"US; MX")</x:f>
        <x:v>5</x:v>
      </x:c>
      <x:c r="C6" s="50" t="n">
        <x:v>5</x:v>
      </x:c>
      <x:c r="D6" s="50" t="str">
        <x:f>IF(B6=C6,"PASS","CHECK")</x:f>
        <x:v>PASS</x:v>
      </x:c>
    </x:row>
    <x:row r="7" ht="28" customHeight="1">
      <x:c r="A7" s="50" t="str">
        <x:v>覆盖墨西哥市场的SKU数</x:v>
      </x:c>
      <x:c r="B7" s="50" t="n">
        <x:f>COUNTIF('Product Master'!O4:O8,"US; MX")</x:f>
        <x:v>5</x:v>
      </x:c>
      <x:c r="C7" s="50" t="n">
        <x:v>5</x:v>
      </x:c>
      <x:c r="D7" s="50" t="str">
        <x:f>IF(B7=C7,"PASS","CHECK")</x:f>
        <x:v>PASS</x:v>
      </x:c>
    </x:row>
    <x:row r="8" ht="28" customHeight="1">
      <x:c r="A8" s="50" t="str">
        <x:v>含模拟规格来源的SKU数</x:v>
      </x:c>
      <x:c r="B8" s="50" t="n">
        <x:f>COUNTA('Product Master'!P4:P8)</x:f>
        <x:v>5</x:v>
      </x:c>
      <x:c r="C8" s="50" t="n">
        <x:v>5</x:v>
      </x:c>
      <x:c r="D8" s="50" t="str">
        <x:f>IF(B8=C8,"PASS","CHECK")</x:f>
        <x:v>PASS</x:v>
      </x:c>
    </x:row>
    <x:row r="9" ht="28" customHeight="1">
      <x:c r="A9" s="50" t="str">
        <x:v>含允许功效的SKU数</x:v>
      </x:c>
      <x:c r="B9" s="50" t="n">
        <x:f>COUNTA('Product Master'!I4:I8)</x:f>
        <x:v>5</x:v>
      </x:c>
      <x:c r="C9" s="50" t="n">
        <x:v>5</x:v>
      </x:c>
      <x:c r="D9" s="50" t="str">
        <x:f>IF(B9=C9,"PASS","CHECK")</x:f>
        <x:v>PASS</x:v>
      </x:c>
    </x:row>
    <x:row r="10" ht="28" customHeight="1">
      <x:c r="A10" s="50" t="str">
        <x:v>含禁止表达的SKU数</x:v>
      </x:c>
      <x:c r="B10" s="50" t="n">
        <x:f>COUNTA('Product Master'!J4:J8)</x:f>
        <x:v>5</x:v>
      </x:c>
      <x:c r="C10" s="50" t="n">
        <x:v>5</x:v>
      </x:c>
      <x:c r="D10" s="50" t="str">
        <x:f>IF(B10=C10,"PASS","CHECK")</x:f>
        <x:v>PASS</x:v>
      </x:c>
    </x:row>
    <x:row r="11" ht="28" customHeight="1">
      <x:c r="A11" s="51" t="str">
        <x:v>来源登记数量</x:v>
      </x:c>
      <x:c r="B11" s="51" t="n">
        <x:f>COUNTA('Source Registry'!A4:A14)</x:f>
        <x:v>11</x:v>
      </x:c>
      <x:c r="C11" s="51" t="n">
        <x:v>11</x:v>
      </x:c>
      <x:c r="D11" s="51" t="str">
        <x:f>IF(B11=C11,"PASS","CHECK")</x:f>
        <x:v>PASS</x:v>
      </x:c>
    </x:row>
    <x:row r="13" ht="42" customHeight="1">
      <x:c r="A13" s="54" t="str">
        <x:v>解释：PASS只表示阶段2资料完整，不代表成分、功效、商标或平台合规已获得外部验证。</x:v>
      </x:c>
      <x:c r="B13" s="54"/>
      <x:c r="C13" s="54"/>
      <x:c r="D13" s="54"/>
    </x:row>
  </x:sheetData>
  <x:mergeCells>
    <x:mergeCell ref="A1:D1"/>
    <x:mergeCell ref="A2:D2"/>
    <x:mergeCell ref="A13:D13"/>
  </x:mergeCells>
  <x:conditionalFormatting sqref="D4:D11">
    <x:cfRule type="containsText" dxfId="0" priority="1" operator="containsText" text="PASS"/>
    <x:cfRule type="containsText" dxfId="1" priority="2" operator="containsText" text="CHECK"/>
  </x:conditionalFormatting>
  <x:pageMargins left="0.7" right="0.7" top="0.75" bottom="0.75" header="0.3" footer="0.3"/>
</x:worksheet>
</file>