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37d2b18d1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ight Mapping" sheetId="1" r:id="R066f81b1240f49d3"/>
    <x:sheet xmlns:r="http://schemas.openxmlformats.org/officeDocument/2006/relationships" name="Evidence" sheetId="2" r:id="R3773bf1742694a07"/>
    <x:sheet xmlns:r="http://schemas.openxmlformats.org/officeDocument/2006/relationships" name="Market Summary" sheetId="3" r:id="R0dc861b46b4e4a95"/>
    <x:sheet xmlns:r="http://schemas.openxmlformats.org/officeDocument/2006/relationships" name="Source Notes" sheetId="4" r:id="Rd6ef14c290d944fe"/>
    <x:sheet xmlns:r="http://schemas.openxmlformats.org/officeDocument/2006/relationships" name="QA Summary" sheetId="5" r:id="R394f5ec21e41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sz val="9"/>
      <x:color rgb="FF26332F"/>
      <x:name val="Carlito"/>
    </x:font>
    <x:font>
      <x:b/>
      <x:sz val="9"/>
      <x:color rgb="FF26332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7468"/>
      </x:patternFill>
    </x:fill>
    <x:fill>
      <x:patternFill patternType="solid">
        <x:fgColor rgb="FFF7F1E7"/>
      </x:patternFill>
    </x:fill>
    <x:fill>
      <x:patternFill patternType="solid">
        <x:fgColor rgb="FFD98A63"/>
      </x:patternFill>
    </x:fill>
  </x:fills>
  <x:borders count="5">
    <x:border/>
    <x:border>
      <x:bottom style="medium">
        <x:color rgb="FF2F7468"/>
      </x:bottom>
    </x:border>
    <x:border>
      <x:bottom style="thin">
        <x:color rgb="FFD7DED9"/>
      </x:bottom>
    </x:border>
    <x:border>
      <x:top style="thin">
        <x:color rgb="FFD7DED9"/>
      </x:top>
      <x:bottom style="thin">
        <x:color rgb="FFD7DED9"/>
      </x:bottom>
    </x:border>
    <x:border>
      <x:top style="thin">
        <x:color rgb="FFD7DED9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/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/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horizontal="right" vertical="top" wrapText="1"/>
    </x:xf>
    <x:xf numFmtId="200" fontId="4" fillId="0" borderId="3" xfId="0" applyNumberFormat="1" applyFont="1" applyFill="1" applyBorder="1" applyAlignment="1">
      <x:alignment horizontal="right" vertical="top" wrapText="1"/>
    </x:xf>
    <x:xf numFmtId="200" fontId="4" fillId="0" borderId="4" xfId="0" applyNumberFormat="1" applyFont="1" applyFill="1" applyBorder="1" applyAlignment="1">
      <x:alignment horizontal="right"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2F7468"/>
      </x:font>
      <x:fill>
        <x:patternFill patternType="solid">
          <x:bgColor rgb="FFC8EED1"/>
        </x:patternFill>
      </x:fill>
    </x:dxf>
    <x:dxf>
      <x:font>
        <x:color rgb="FFB42318"/>
      </x:font>
      <x:fill>
        <x:patternFill patternType="solid">
          <x:bgColor rgb="FFFBE3DF"/>
        </x:patternFill>
      </x:fill>
    </x:dxf>
    <x:dxf>
      <x:font>
        <x:color rgb="FF946200"/>
      </x:font>
      <x:fill>
        <x:patternFill patternType="solid">
          <x:bgColor rgb="FFFFF2C7"/>
        </x:patternFill>
      </x:fill>
    </x:dxf>
    <x:dxf>
      <x:font>
        <x:color rgb="FF946200"/>
      </x:font>
      <x:fill>
        <x:patternFill patternType="solid">
          <x:bgColor rgb="FFFFF2C7"/>
        </x:patternFill>
      </x:fill>
    </x:dxf>
    <x:dxf>
      <x:font>
        <x:color rgb="FF2F7468"/>
      </x:font>
      <x:fill>
        <x:patternFill patternType="solid">
          <x:bgColor rgb="FFC8EED1"/>
        </x:patternFill>
      </x:fill>
    </x:dxf>
    <x:dxf>
      <x:font>
        <x:color rgb="FFB42318"/>
      </x:font>
      <x:fill>
        <x:patternFill patternType="solid">
          <x:bgColor rgb="FFFB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6e1fc3fb84755" /><Relationship Type="http://schemas.openxmlformats.org/officeDocument/2006/relationships/theme" Target="/xl/theme/theme1.xml" Id="Rb6390421633749eb" /><Relationship Type="http://schemas.microsoft.com/office/2022/11/relationships/FeaturePropertyBag" Target="/xl/featurePropertyBag/featurePropertyBag.xml" Id="Rd05f1057c0d14ebc" /><Relationship Type="http://schemas.openxmlformats.org/officeDocument/2006/relationships/sharedStrings" Target="/xl/sharedStrings.xml" Id="R860542d2d90b4aac" /><Relationship Type="http://schemas.openxmlformats.org/officeDocument/2006/relationships/worksheet" Target="/xl/worksheets/sheet1.xml" Id="R066f81b1240f49d3" /><Relationship Type="http://schemas.openxmlformats.org/officeDocument/2006/relationships/worksheet" Target="/xl/worksheets/sheet2.xml" Id="R3773bf1742694a07" /><Relationship Type="http://schemas.openxmlformats.org/officeDocument/2006/relationships/worksheet" Target="/xl/worksheets/sheet3.xml" Id="R0dc861b46b4e4a95" /><Relationship Type="http://schemas.openxmlformats.org/officeDocument/2006/relationships/worksheet" Target="/xl/worksheets/sheet4.xml" Id="Rd6ef14c290d944fe" /><Relationship Type="http://schemas.openxmlformats.org/officeDocument/2006/relationships/worksheet" Target="/xl/worksheets/sheet5.xml" Id="R394f5ec21e4146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20" hidden="0" customWidth="1"/>
    <x:col min="5" max="5" width="20" hidden="0" customWidth="1"/>
    <x:col min="6" max="6" width="34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29" hidden="0" customWidth="1"/>
    <x:col min="13" max="13" width="14" hidden="0" customWidth="1"/>
    <x:col min="14" max="14" width="30" hidden="0" customWidth="1"/>
    <x:col min="15" max="15" width="30" hidden="0" customWidth="1"/>
    <x:col min="16" max="16" width="30" hidden="0" customWidth="1"/>
    <x:col min="17" max="17" width="38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LocalizeFlow｜消费者洞察—商品事实匹配表 v1.0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0" customHeight="1">
      <x:c r="A2" s="7" t="str">
        <x:v>绿色=可用于选择内容角度；红色=因事实不足阻断；黄色=仅用于语言策略。support_n不是市场发生率。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34" customHeight="1">
      <x:c r="A3" s="14" t="str">
        <x:v>insight_id</x:v>
      </x:c>
      <x:c r="B3" s="14" t="str">
        <x:v>market</x:v>
      </x:c>
      <x:c r="C3" s="14" t="str">
        <x:v>language</x:v>
      </x:c>
      <x:c r="D3" s="14" t="str">
        <x:v>insight_type</x:v>
      </x:c>
      <x:c r="E3" s="14" t="str">
        <x:v>theme</x:v>
      </x:c>
      <x:c r="F3" s="14" t="str">
        <x:v>signal_zh</x:v>
      </x:c>
      <x:c r="G3" s="14" t="str">
        <x:v>support_n</x:v>
      </x:c>
      <x:c r="H3" s="14" t="str">
        <x:v>reviewed_n</x:v>
      </x:c>
      <x:c r="I3" s="14" t="str">
        <x:v>minimum_n</x:v>
      </x:c>
      <x:c r="J3" s="14" t="str">
        <x:v>threshold_met</x:v>
      </x:c>
      <x:c r="K3" s="14" t="str">
        <x:v>confidence</x:v>
      </x:c>
      <x:c r="L3" s="14" t="str">
        <x:v>evidence_scope</x:v>
      </x:c>
      <x:c r="M3" s="14" t="str">
        <x:v>mapping_status</x:v>
      </x:c>
      <x:c r="N3" s="14" t="str">
        <x:v>linked_skus</x:v>
      </x:c>
      <x:c r="O3" s="14" t="str">
        <x:v>linked_fact_ids</x:v>
      </x:c>
      <x:c r="P3" s="14" t="str">
        <x:v>brand_rule_refs</x:v>
      </x:c>
      <x:c r="Q3" s="14" t="str">
        <x:v>recommended_content_direction</x:v>
      </x:c>
      <x:c r="R3" s="14" t="str">
        <x:v>block_reason</x:v>
      </x:c>
      <x:c r="S3" s="14" t="str">
        <x:v>prohibited_inference</x:v>
      </x:c>
    </x:row>
    <x:row r="4" ht="76" customHeight="1">
      <x:c r="A4" s="29" t="str">
        <x:v>IN-US-001</x:v>
      </x:c>
      <x:c r="B4" s="29" t="str">
        <x:v>US</x:v>
      </x:c>
      <x:c r="C4" s="29" t="str">
        <x:v>en-US</x:v>
      </x:c>
      <x:c r="D4" s="29" t="str">
        <x:v>positive_attribute</x:v>
      </x:c>
      <x:c r="E4" s="29" t="str">
        <x:v>comfortable_skin_feel</x:v>
      </x:c>
      <x:c r="F4" s="29" t="str">
        <x:v>消费者会用柔软、顺滑、舒适等可感知结果评价护肤体验。</x:v>
      </x:c>
      <x:c r="G4" s="29" t="n">
        <x:v>3</x:v>
      </x:c>
      <x:c r="H4" s="29" t="n">
        <x:v>50</x:v>
      </x:c>
      <x:c r="I4" s="29" t="n">
        <x:v>2</x:v>
      </x:c>
      <x:c r="J4" s="30" t="b">
        <x:v>1</x:v>
      </x:c>
      <x:c r="K4" s="29" t="str">
        <x:v>medium</x:v>
      </x:c>
      <x:c r="L4" s="29" t="str">
        <x:v>English-language proxy for US content</x:v>
      </x:c>
      <x:c r="M4" s="29" t="str">
        <x:v>eligible</x:v>
      </x:c>
      <x:c r="N4" s="29" t="str">
        <x:v>MV-SERUM-001 | MV-CREAM-001 | MV-HAND-001</x:v>
      </x:c>
      <x:c r="O4" s="29" t="str">
        <x:v>MV-SERUM-001-F022 | MV-SERUM-001-F024 | MV-CREAM-001-F021 | MV-HAND-001-F020</x:v>
      </x:c>
      <x:c r="P4" s="29" t="str">
        <x:v>voice.trustworthy | claim_language.B.en</x:v>
      </x:c>
      <x:c r="Q4" s="29" t="str">
        <x:v>优先测试helps skin feel soft/hydrated等感受型卖点，并保持helps限定。</x:v>
      </x:c>
      <x:c r="R4" s="29" t="str"/>
      <x:c r="S4" s="29" t="str">
        <x:v>不得改写为修复皮肤结构、临床证明或保证结果。</x:v>
      </x:c>
    </x:row>
    <x:row r="5" ht="76" customHeight="1">
      <x:c r="A5" s="31" t="str">
        <x:v>IN-US-002</x:v>
      </x:c>
      <x:c r="B5" s="31" t="str">
        <x:v>US</x:v>
      </x:c>
      <x:c r="C5" s="31" t="str">
        <x:v>en-US</x:v>
      </x:c>
      <x:c r="D5" s="31" t="str">
        <x:v>negative_concern</x:v>
      </x:c>
      <x:c r="E5" s="31" t="str">
        <x:v>texture_and_finish</x:v>
      </x:c>
      <x:c r="F5" s="31" t="str">
        <x:v>黏、厚重、难干与顺滑、不油腻等具体质地体验会影响评价。</x:v>
      </x:c>
      <x:c r="G5" s="31" t="n">
        <x:v>3</x:v>
      </x:c>
      <x:c r="H5" s="31" t="n">
        <x:v>50</x:v>
      </x:c>
      <x:c r="I5" s="31" t="n">
        <x:v>2</x:v>
      </x:c>
      <x:c r="J5" s="32" t="b">
        <x:v>1</x:v>
      </x:c>
      <x:c r="K5" s="31" t="str">
        <x:v>medium</x:v>
      </x:c>
      <x:c r="L5" s="31" t="str">
        <x:v>English-language proxy for US content</x:v>
      </x:c>
      <x:c r="M5" s="31" t="str">
        <x:v>blocked</x:v>
      </x:c>
      <x:c r="N5" s="31" t="str">
        <x:v>MV-SERUM-001</x:v>
      </x:c>
      <x:c r="O5" s="31" t="str">
        <x:v>MV-SERUM-001-F038</x:v>
      </x:c>
      <x:c r="P5" s="31" t="str">
        <x:v>voice.clear | evidence_level.C</x:v>
      </x:c>
      <x:c r="Q5" s="31" t="str">
        <x:v>将轻盈、不黏腻和吸收速度列为后续产品测试与消费者验证问题。</x:v>
      </x:c>
      <x:c r="R5" s="31" t="str">
        <x:v>仅有C级内容假设，没有可用于宣称的产品事实。</x:v>
      </x:c>
      <x:c r="S5" s="31" t="str">
        <x:v>不得生成non-sticky、fast-absorbing或weightless等产品结论。</x:v>
      </x:c>
    </x:row>
    <x:row r="6" ht="76" customHeight="1">
      <x:c r="A6" s="31" t="str">
        <x:v>IN-US-003</x:v>
      </x:c>
      <x:c r="B6" s="31" t="str">
        <x:v>US</x:v>
      </x:c>
      <x:c r="C6" s="31" t="str">
        <x:v>en-US</x:v>
      </x:c>
      <x:c r="D6" s="31" t="str">
        <x:v>negative_pain_point</x:v>
      </x:c>
      <x:c r="E6" s="31" t="str">
        <x:v>packaging_function</x:v>
      </x:c>
      <x:c r="F6" s="31" t="str">
        <x:v>漏液、泵头损坏和喷头失效会覆盖消费者对产品本身的正面评价。</x:v>
      </x:c>
      <x:c r="G6" s="31" t="n">
        <x:v>4</x:v>
      </x:c>
      <x:c r="H6" s="31" t="n">
        <x:v>50</x:v>
      </x:c>
      <x:c r="I6" s="31" t="n">
        <x:v>2</x:v>
      </x:c>
      <x:c r="J6" s="32" t="b">
        <x:v>1</x:v>
      </x:c>
      <x:c r="K6" s="31" t="str">
        <x:v>medium</x:v>
      </x:c>
      <x:c r="L6" s="31" t="str">
        <x:v>English-language proxy for US content</x:v>
      </x:c>
      <x:c r="M6" s="31" t="str">
        <x:v>eligible</x:v>
      </x:c>
      <x:c r="N6" s="31" t="str">
        <x:v>MV-CLEAN-001 | MV-SERUM-001 | MV-CREAM-001 | MV-HAND-001 | MV-KIT-001</x:v>
      </x:c>
      <x:c r="O6" s="31" t="str">
        <x:v>MV-CLEAN-001-F034 | MV-SERUM-001-F031 | MV-CREAM-001-F030 | MV-HAND-001-F030 | MV-KIT-001-F024</x:v>
      </x:c>
      <x:c r="P6" s="31" t="str">
        <x:v>voice.clear | voice.trustworthy</x:v>
      </x:c>
      <x:c r="Q6" s="31" t="str">
        <x:v>准确说明包装形式、容量和用量；把可靠性作为运营质检项，而不是未经验证的卖点。</x:v>
      </x:c>
      <x:c r="R6" s="31" t="str"/>
      <x:c r="S6" s="31" t="str">
        <x:v>不得宣称leak-proof、damage-free或零故障。</x:v>
      </x:c>
    </x:row>
    <x:row r="7" ht="76" customHeight="1">
      <x:c r="A7" s="31" t="str">
        <x:v>IN-US-004</x:v>
      </x:c>
      <x:c r="B7" s="31" t="str">
        <x:v>US</x:v>
      </x:c>
      <x:c r="C7" s="31" t="str">
        <x:v>en-US</x:v>
      </x:c>
      <x:c r="D7" s="31" t="str">
        <x:v>purchase_motivation</x:v>
      </x:c>
      <x:c r="E7" s="31" t="str">
        <x:v>ease_of_use</x:v>
      </x:c>
      <x:c r="F7" s="31" t="str">
        <x:v>消费者会把易用、易操作和步骤清楚作为正面购买理由。</x:v>
      </x:c>
      <x:c r="G7" s="31" t="n">
        <x:v>3</x:v>
      </x:c>
      <x:c r="H7" s="31" t="n">
        <x:v>50</x:v>
      </x:c>
      <x:c r="I7" s="31" t="n">
        <x:v>2</x:v>
      </x:c>
      <x:c r="J7" s="32" t="b">
        <x:v>1</x:v>
      </x:c>
      <x:c r="K7" s="31" t="str">
        <x:v>medium</x:v>
      </x:c>
      <x:c r="L7" s="31" t="str">
        <x:v>English-language proxy for US content</x:v>
      </x:c>
      <x:c r="M7" s="31" t="str">
        <x:v>eligible</x:v>
      </x:c>
      <x:c r="N7" s="31" t="str">
        <x:v>MV-CLEAN-001 | MV-SERUM-001 | MV-CREAM-001 | MV-HAND-001 | MV-KIT-001</x:v>
      </x:c>
      <x:c r="O7" s="31" t="str">
        <x:v>MV-CLEAN-001-F015 | MV-SERUM-001-F015 | MV-CREAM-001-F017 | MV-HAND-001-F016 | MV-KIT-001-F010</x:v>
      </x:c>
      <x:c r="P7" s="31" t="str">
        <x:v>voice.clear | voice.concise | US.style.direct</x:v>
      </x:c>
      <x:c r="Q7" s="31" t="str">
        <x:v>使用简短步骤、准确用量和顺序说明，突出可理解性而非保证便利。</x:v>
      </x:c>
      <x:c r="R7" s="31" t="str"/>
      <x:c r="S7" s="31" t="str">
        <x:v>不得把步骤清楚扩大为适合所有人或零学习成本。</x:v>
      </x:c>
    </x:row>
    <x:row r="8" ht="76" customHeight="1">
      <x:c r="A8" s="31" t="str">
        <x:v>IN-US-005</x:v>
      </x:c>
      <x:c r="B8" s="31" t="str">
        <x:v>US</x:v>
      </x:c>
      <x:c r="C8" s="31" t="str">
        <x:v>en-US</x:v>
      </x:c>
      <x:c r="D8" s="31" t="str">
        <x:v>usage_scenario</x:v>
      </x:c>
      <x:c r="E8" s="31" t="str">
        <x:v>travel_and_portability</x:v>
      </x:c>
      <x:c r="F8" s="31" t="str">
        <x:v>旅行、减少液体携带和便于收纳是可观察的内容场景。</x:v>
      </x:c>
      <x:c r="G8" s="31" t="n">
        <x:v>3</x:v>
      </x:c>
      <x:c r="H8" s="31" t="n">
        <x:v>50</x:v>
      </x:c>
      <x:c r="I8" s="31" t="n">
        <x:v>2</x:v>
      </x:c>
      <x:c r="J8" s="32" t="b">
        <x:v>1</x:v>
      </x:c>
      <x:c r="K8" s="31" t="str">
        <x:v>medium</x:v>
      </x:c>
      <x:c r="L8" s="31" t="str">
        <x:v>English-language proxy for US content</x:v>
      </x:c>
      <x:c r="M8" s="31" t="str">
        <x:v>eligible</x:v>
      </x:c>
      <x:c r="N8" s="31" t="str">
        <x:v>MV-KIT-001</x:v>
      </x:c>
      <x:c r="O8" s="31" t="str">
        <x:v>MV-KIT-001-F003 | MV-KIT-001-F004 | MV-KIT-001-F005 | MV-KIT-001-F015 | MV-KIT-001-F024</x:v>
      </x:c>
      <x:c r="P8" s="31" t="str">
        <x:v>voice.clear | US.style.direct</x:v>
      </x:c>
      <x:c r="Q8" s="31" t="str">
        <x:v>测试three mini sizes和simple travel routine角度，并完整列出每件容量。</x:v>
      </x:c>
      <x:c r="R8" s="31" t="str"/>
      <x:c r="S8" s="31" t="str">
        <x:v>不得宣称TSA approved、airline certified或guaranteed for carry-on。</x:v>
      </x:c>
    </x:row>
    <x:row r="9" ht="76" customHeight="1">
      <x:c r="A9" s="31" t="str">
        <x:v>IN-US-006</x:v>
      </x:c>
      <x:c r="B9" s="31" t="str">
        <x:v>US</x:v>
      </x:c>
      <x:c r="C9" s="31" t="str">
        <x:v>en-US</x:v>
      </x:c>
      <x:c r="D9" s="31" t="str">
        <x:v>negative_concern</x:v>
      </x:c>
      <x:c r="E9" s="31" t="str">
        <x:v>expectation_match</x:v>
      </x:c>
      <x:c r="F9" s="31" t="str">
        <x:v>图片、颜色、数量和实物不匹配会直接触发失望和低分。</x:v>
      </x:c>
      <x:c r="G9" s="31" t="n">
        <x:v>4</x:v>
      </x:c>
      <x:c r="H9" s="31" t="n">
        <x:v>50</x:v>
      </x:c>
      <x:c r="I9" s="31" t="n">
        <x:v>2</x:v>
      </x:c>
      <x:c r="J9" s="32" t="b">
        <x:v>1</x:v>
      </x:c>
      <x:c r="K9" s="31" t="str">
        <x:v>medium</x:v>
      </x:c>
      <x:c r="L9" s="31" t="str">
        <x:v>English-language proxy for US content</x:v>
      </x:c>
      <x:c r="M9" s="31" t="str">
        <x:v>eligible</x:v>
      </x:c>
      <x:c r="N9" s="31" t="str">
        <x:v>MV-CLEAN-001 | MV-SERUM-001 | MV-CREAM-001 | MV-HAND-001 | MV-KIT-001</x:v>
      </x:c>
      <x:c r="O9" s="31" t="str">
        <x:v>MV-CLEAN-001-F002 | MV-CLEAN-001-F003 | MV-SERUM-001-F002 | MV-SERUM-001-F003 | MV-CREAM-001-F002 | MV-CREAM-001-F003 | MV-HAND-001-F002 | MV-HAND-001-F003 | MV-KIT-001-F002 | MV-KIT-001-F003 | MV-KIT-001-F004 | MV-KIT-001-F005</x:v>
      </x:c>
      <x:c r="P9" s="31" t="str">
        <x:v>voice.clear | voice.trustworthy</x:v>
      </x:c>
      <x:c r="Q9" s="31" t="str">
        <x:v>标题和卖点优先写清商品类型、件数、容量和包装形态。</x:v>
      </x:c>
      <x:c r="R9" s="31" t="str"/>
      <x:c r="S9" s="31" t="str">
        <x:v>不得省略关键规格或用模糊图片替代文字事实。</x:v>
      </x:c>
    </x:row>
    <x:row r="10" ht="76" customHeight="1">
      <x:c r="A10" s="31" t="str">
        <x:v>IN-US-007</x:v>
      </x:c>
      <x:c r="B10" s="31" t="str">
        <x:v>US</x:v>
      </x:c>
      <x:c r="C10" s="31" t="str">
        <x:v>en-US</x:v>
      </x:c>
      <x:c r="D10" s="31" t="str">
        <x:v>purchase_motivation</x:v>
      </x:c>
      <x:c r="E10" s="31" t="str">
        <x:v>value_for_money</x:v>
      </x:c>
      <x:c r="F10" s="31" t="str">
        <x:v>价格与体验是否匹配会影响推荐和复购判断。</x:v>
      </x:c>
      <x:c r="G10" s="31" t="n">
        <x:v>5</x:v>
      </x:c>
      <x:c r="H10" s="31" t="n">
        <x:v>50</x:v>
      </x:c>
      <x:c r="I10" s="31" t="n">
        <x:v>2</x:v>
      </x:c>
      <x:c r="J10" s="32" t="b">
        <x:v>1</x:v>
      </x:c>
      <x:c r="K10" s="31" t="str">
        <x:v>medium</x:v>
      </x:c>
      <x:c r="L10" s="31" t="str">
        <x:v>English-language proxy for US content</x:v>
      </x:c>
      <x:c r="M10" s="31" t="str">
        <x:v>blocked</x:v>
      </x:c>
      <x:c r="N10" s="31" t="str"/>
      <x:c r="O10" s="31" t="str"/>
      <x:c r="P10" s="31" t="str">
        <x:v>voice.trustworthy</x:v>
      </x:c>
      <x:c r="Q10" s="31" t="str">
        <x:v>保留为未来定价验证问题，不进入当前生成提示词。</x:v>
      </x:c>
      <x:c r="R10" s="31" t="str">
        <x:v>项目事实库没有价格、折扣或竞品价格数据。</x:v>
      </x:c>
      <x:c r="S10" s="31" t="str">
        <x:v>不得生成affordable、great value、best price、discount或虚构稀缺性。</x:v>
      </x:c>
    </x:row>
    <x:row r="11" ht="76" customHeight="1">
      <x:c r="A11" s="31" t="str">
        <x:v>IN-US-008</x:v>
      </x:c>
      <x:c r="B11" s="31" t="str">
        <x:v>US</x:v>
      </x:c>
      <x:c r="C11" s="31" t="str">
        <x:v>en-US</x:v>
      </x:c>
      <x:c r="D11" s="31" t="str">
        <x:v>language_pattern</x:v>
      </x:c>
      <x:c r="E11" s="31" t="str">
        <x:v>direct_experience_wording</x:v>
      </x:c>
      <x:c r="F11" s="31" t="str">
        <x:v>英语样本常使用短句直接说明使用体验、问题和推荐理由。</x:v>
      </x:c>
      <x:c r="G11" s="31" t="n">
        <x:v>3</x:v>
      </x:c>
      <x:c r="H11" s="31" t="n">
        <x:v>50</x:v>
      </x:c>
      <x:c r="I11" s="31" t="n">
        <x:v>2</x:v>
      </x:c>
      <x:c r="J11" s="32" t="b">
        <x:v>1</x:v>
      </x:c>
      <x:c r="K11" s="31" t="str">
        <x:v>low</x:v>
      </x:c>
      <x:c r="L11" s="31" t="str">
        <x:v>English-language proxy for US content</x:v>
      </x:c>
      <x:c r="M11" s="31" t="str">
        <x:v>strategy_only</x:v>
      </x:c>
      <x:c r="N11" s="31" t="str"/>
      <x:c r="O11" s="31" t="str"/>
      <x:c r="P11" s="31" t="str">
        <x:v>US.style.direct | voice.concise</x:v>
      </x:c>
      <x:c r="Q11" s="31" t="str">
        <x:v>英语内容采用短句和feature plus experience结构，避免文化本质化。</x:v>
      </x:c>
      <x:c r="R11" s="31" t="str"/>
      <x:c r="S11" s="31" t="str">
        <x:v>不得将表达差异概括为固定民族或文化性格。</x:v>
      </x:c>
    </x:row>
    <x:row r="12" ht="76" customHeight="1">
      <x:c r="A12" s="31" t="str">
        <x:v>IN-MX-001</x:v>
      </x:c>
      <x:c r="B12" s="31" t="str">
        <x:v>MX</x:v>
      </x:c>
      <x:c r="C12" s="31" t="str">
        <x:v>es-MX</x:v>
      </x:c>
      <x:c r="D12" s="31" t="str">
        <x:v>attribute_salience</x:v>
      </x:c>
      <x:c r="E12" s="31" t="str">
        <x:v>scent_information</x:v>
      </x:c>
      <x:c r="F12" s="31" t="str">
        <x:v>西语样本会明确评价气味是否令人愉悦，气味信息是可见的决策线索。</x:v>
      </x:c>
      <x:c r="G12" s="31" t="n">
        <x:v>4</x:v>
      </x:c>
      <x:c r="H12" s="31" t="n">
        <x:v>50</x:v>
      </x:c>
      <x:c r="I12" s="31" t="n">
        <x:v>2</x:v>
      </x:c>
      <x:c r="J12" s="32" t="b">
        <x:v>1</x:v>
      </x:c>
      <x:c r="K12" s="31" t="str">
        <x:v>low</x:v>
      </x:c>
      <x:c r="L12" s="31" t="str">
        <x:v>Spanish-language proxy for Mexico content</x:v>
      </x:c>
      <x:c r="M12" s="31" t="str">
        <x:v>eligible</x:v>
      </x:c>
      <x:c r="N12" s="31" t="str">
        <x:v>MV-CLEAN-001 | MV-SERUM-001 | MV-CREAM-001 | MV-HAND-001 | MV-KIT-001</x:v>
      </x:c>
      <x:c r="O12" s="31" t="str">
        <x:v>MV-CLEAN-001-F019 | MV-SERUM-001-F018 | MV-CREAM-001-F018 | MV-HAND-001-F017 | MV-KIT-001-F012</x:v>
      </x:c>
      <x:c r="P12" s="31" t="str">
        <x:v>MX.preferred.sin_fragancia_añadida | voice.clear</x:v>
      </x:c>
      <x:c r="Q12" s="31" t="str">
        <x:v>明确写sin fragancia añadida，使消费者知道配方未添加香精；不承诺完全无气味。</x:v>
      </x:c>
      <x:c r="R12" s="31" t="str"/>
      <x:c r="S12" s="31" t="str">
        <x:v>不得改写为sin olor、hipoalergénico或libre de alergias。</x:v>
      </x:c>
    </x:row>
    <x:row r="13" ht="76" customHeight="1">
      <x:c r="A13" s="31" t="str">
        <x:v>IN-MX-002</x:v>
      </x:c>
      <x:c r="B13" s="31" t="str">
        <x:v>MX</x:v>
      </x:c>
      <x:c r="C13" s="31" t="str">
        <x:v>es-MX</x:v>
      </x:c>
      <x:c r="D13" s="31" t="str">
        <x:v>negative_concern</x:v>
      </x:c>
      <x:c r="E13" s="31" t="str">
        <x:v>greasy_and_absorption</x:v>
      </x:c>
      <x:c r="F13" s="31" t="str">
        <x:v>油腻和吸收不佳会削弱消费者对效果的评价。</x:v>
      </x:c>
      <x:c r="G13" s="31" t="n">
        <x:v>3</x:v>
      </x:c>
      <x:c r="H13" s="31" t="n">
        <x:v>50</x:v>
      </x:c>
      <x:c r="I13" s="31" t="n">
        <x:v>2</x:v>
      </x:c>
      <x:c r="J13" s="32" t="b">
        <x:v>1</x:v>
      </x:c>
      <x:c r="K13" s="31" t="str">
        <x:v>low</x:v>
      </x:c>
      <x:c r="L13" s="31" t="str">
        <x:v>Spanish-language proxy for Mexico content</x:v>
      </x:c>
      <x:c r="M13" s="31" t="str">
        <x:v>blocked</x:v>
      </x:c>
      <x:c r="N13" s="31" t="str">
        <x:v>MV-SERUM-001</x:v>
      </x:c>
      <x:c r="O13" s="31" t="str">
        <x:v>MV-SERUM-001-F038</x:v>
      </x:c>
      <x:c r="P13" s="31" t="str">
        <x:v>voice.trustworthy | evidence_level.C</x:v>
      </x:c>
      <x:c r="Q13" s="31" t="str">
        <x:v>作为墨西哥用户测试问题保留，当前不生成no grasoso或de rápida absorción。</x:v>
      </x:c>
      <x:c r="R13" s="31" t="str">
        <x:v>只有C级内容假设，没有产品体验测试。</x:v>
      </x:c>
      <x:c r="S13" s="31" t="str">
        <x:v>不得生成no grasoso、no pegajoso或de rápida absorción。</x:v>
      </x:c>
    </x:row>
    <x:row r="14" ht="76" customHeight="1">
      <x:c r="A14" s="31" t="str">
        <x:v>IN-MX-003</x:v>
      </x:c>
      <x:c r="B14" s="31" t="str">
        <x:v>MX</x:v>
      </x:c>
      <x:c r="C14" s="31" t="str">
        <x:v>es-MX</x:v>
      </x:c>
      <x:c r="D14" s="31" t="str">
        <x:v>negative_pain_point</x:v>
      </x:c>
      <x:c r="E14" s="31" t="str">
        <x:v>packaging_and_arrival_condition</x:v>
      </x:c>
      <x:c r="F14" s="31" t="str">
        <x:v>破损、开封和内容物外漏会破坏商品体验。</x:v>
      </x:c>
      <x:c r="G14" s="31" t="n">
        <x:v>3</x:v>
      </x:c>
      <x:c r="H14" s="31" t="n">
        <x:v>50</x:v>
      </x:c>
      <x:c r="I14" s="31" t="n">
        <x:v>2</x:v>
      </x:c>
      <x:c r="J14" s="32" t="b">
        <x:v>1</x:v>
      </x:c>
      <x:c r="K14" s="31" t="str">
        <x:v>low</x:v>
      </x:c>
      <x:c r="L14" s="31" t="str">
        <x:v>Spanish-language proxy for Mexico content</x:v>
      </x:c>
      <x:c r="M14" s="31" t="str">
        <x:v>eligible</x:v>
      </x:c>
      <x:c r="N14" s="31" t="str">
        <x:v>MV-CLEAN-001 | MV-SERUM-001 | MV-CREAM-001 | MV-HAND-001 | MV-KIT-001</x:v>
      </x:c>
      <x:c r="O14" s="31" t="str">
        <x:v>MV-CLEAN-001-F034 | MV-SERUM-001-F031 | MV-CREAM-001-F030 | MV-HAND-001-F030 | MV-KIT-001-F024</x:v>
      </x:c>
      <x:c r="P14" s="31" t="str">
        <x:v>voice.clear | voice.trustworthy</x:v>
      </x:c>
      <x:c r="Q14" s="31" t="str">
        <x:v>准确说明envase、容量和套装组成；将防漏和到货完整性放入运营质检。</x:v>
      </x:c>
      <x:c r="R14" s="31" t="str"/>
      <x:c r="S14" s="31" t="str">
        <x:v>不得宣称a prueba de fugas、sin daños garantizados或包装零故障。</x:v>
      </x:c>
    </x:row>
    <x:row r="15" ht="76" customHeight="1">
      <x:c r="A15" s="31" t="str">
        <x:v>IN-MX-004</x:v>
      </x:c>
      <x:c r="B15" s="31" t="str">
        <x:v>MX</x:v>
      </x:c>
      <x:c r="C15" s="31" t="str">
        <x:v>es-MX</x:v>
      </x:c>
      <x:c r="D15" s="31" t="str">
        <x:v>purchase_motivation</x:v>
      </x:c>
      <x:c r="E15" s="31" t="str">
        <x:v>practical_and_easy_use</x:v>
      </x:c>
      <x:c r="F15" s="31" t="str">
        <x:v>práctico、manejable和sencillo de usar等表达对应正面易用体验。</x:v>
      </x:c>
      <x:c r="G15" s="31" t="n">
        <x:v>4</x:v>
      </x:c>
      <x:c r="H15" s="31" t="n">
        <x:v>50</x:v>
      </x:c>
      <x:c r="I15" s="31" t="n">
        <x:v>2</x:v>
      </x:c>
      <x:c r="J15" s="32" t="b">
        <x:v>1</x:v>
      </x:c>
      <x:c r="K15" s="31" t="str">
        <x:v>low</x:v>
      </x:c>
      <x:c r="L15" s="31" t="str">
        <x:v>Spanish-language proxy for Mexico content</x:v>
      </x:c>
      <x:c r="M15" s="31" t="str">
        <x:v>eligible</x:v>
      </x:c>
      <x:c r="N15" s="31" t="str">
        <x:v>MV-CLEAN-001 | MV-SERUM-001 | MV-CREAM-001 | MV-HAND-001 | MV-KIT-001</x:v>
      </x:c>
      <x:c r="O15" s="31" t="str">
        <x:v>MV-CLEAN-001-F015 | MV-SERUM-001-F015 | MV-CREAM-001-F017 | MV-HAND-001-F016 | MV-KIT-001-F010</x:v>
      </x:c>
      <x:c r="P15" s="31" t="str">
        <x:v>MX.pronoun.tú | voice.clear | voice.concise</x:v>
      </x:c>
      <x:c r="Q15" s="31" t="str">
        <x:v>使用简短的tú式步骤说明，如aplica、continúa、úsalo según sea necesario。</x:v>
      </x:c>
      <x:c r="R15" s="31" t="str"/>
      <x:c r="S15" s="31" t="str">
        <x:v>不得把步骤清楚扩大为适合所有人或无需任何注意事项。</x:v>
      </x:c>
    </x:row>
    <x:row r="16" ht="76" customHeight="1">
      <x:c r="A16" s="31" t="str">
        <x:v>IN-MX-005</x:v>
      </x:c>
      <x:c r="B16" s="31" t="str">
        <x:v>MX</x:v>
      </x:c>
      <x:c r="C16" s="31" t="str">
        <x:v>es-MX</x:v>
      </x:c>
      <x:c r="D16" s="31" t="str">
        <x:v>usage_scenario</x:v>
      </x:c>
      <x:c r="E16" s="31" t="str">
        <x:v>compact_and_manageable</x:v>
      </x:c>
      <x:c r="F16" s="31" t="str">
        <x:v>小巧、容易拿取和不重可支持精简携带的内容测试。</x:v>
      </x:c>
      <x:c r="G16" s="31" t="n">
        <x:v>2</x:v>
      </x:c>
      <x:c r="H16" s="31" t="n">
        <x:v>50</x:v>
      </x:c>
      <x:c r="I16" s="31" t="n">
        <x:v>2</x:v>
      </x:c>
      <x:c r="J16" s="32" t="b">
        <x:v>1</x:v>
      </x:c>
      <x:c r="K16" s="31" t="str">
        <x:v>low</x:v>
      </x:c>
      <x:c r="L16" s="31" t="str">
        <x:v>Spanish-language proxy for Mexico content</x:v>
      </x:c>
      <x:c r="M16" s="31" t="str">
        <x:v>eligible</x:v>
      </x:c>
      <x:c r="N16" s="31" t="str">
        <x:v>MV-KIT-001</x:v>
      </x:c>
      <x:c r="O16" s="31" t="str">
        <x:v>MV-KIT-001-F003 | MV-KIT-001-F004 | MV-KIT-001-F005 | MV-KIT-001-F015 | MV-KIT-001-F024</x:v>
      </x:c>
      <x:c r="P16" s="31" t="str">
        <x:v>MX.style.natural_clear | voice.clear</x:v>
      </x:c>
      <x:c r="Q16" s="31" t="str">
        <x:v>测试set compacto con tres tamaños mini，并列出准确容量；标记需要墨西哥本地复核。</x:v>
      </x:c>
      <x:c r="R16" s="31" t="str"/>
      <x:c r="S16" s="31" t="str">
        <x:v>不得宣称aprobado por la TSA、garantizado para viajar或墨西哥消费者已验证。</x:v>
      </x:c>
    </x:row>
    <x:row r="17" ht="76" customHeight="1">
      <x:c r="A17" s="31" t="str">
        <x:v>IN-MX-006</x:v>
      </x:c>
      <x:c r="B17" s="31" t="str">
        <x:v>MX</x:v>
      </x:c>
      <x:c r="C17" s="31" t="str">
        <x:v>es-MX</x:v>
      </x:c>
      <x:c r="D17" s="31" t="str">
        <x:v>negative_concern</x:v>
      </x:c>
      <x:c r="E17" s="31" t="str">
        <x:v>expectation_match</x:v>
      </x:c>
      <x:c r="F17" s="31" t="str">
        <x:v>西语样本会明确指出品类、颜色、尺寸、图片和质量与预期不符。</x:v>
      </x:c>
      <x:c r="G17" s="31" t="n">
        <x:v>5</x:v>
      </x:c>
      <x:c r="H17" s="31" t="n">
        <x:v>50</x:v>
      </x:c>
      <x:c r="I17" s="31" t="n">
        <x:v>2</x:v>
      </x:c>
      <x:c r="J17" s="32" t="b">
        <x:v>1</x:v>
      </x:c>
      <x:c r="K17" s="31" t="str">
        <x:v>low</x:v>
      </x:c>
      <x:c r="L17" s="31" t="str">
        <x:v>Spanish-language proxy for Mexico content</x:v>
      </x:c>
      <x:c r="M17" s="31" t="str">
        <x:v>eligible</x:v>
      </x:c>
      <x:c r="N17" s="31" t="str">
        <x:v>MV-CLEAN-001 | MV-SERUM-001 | MV-CREAM-001 | MV-HAND-001 | MV-KIT-001</x:v>
      </x:c>
      <x:c r="O17" s="31" t="str">
        <x:v>MV-CLEAN-001-F002 | MV-CLEAN-001-F003 | MV-SERUM-001-F002 | MV-SERUM-001-F003 | MV-CREAM-001-F002 | MV-CREAM-001-F003 | MV-HAND-001-F002 | MV-HAND-001-F003 | MV-KIT-001-F002 | MV-KIT-001-F003 | MV-KIT-001-F004 | MV-KIT-001-F005</x:v>
      </x:c>
      <x:c r="P17" s="31" t="str">
        <x:v>voice.clear | voice.trustworthy | MX.style.natural_clear</x:v>
      </x:c>
      <x:c r="Q17" s="31" t="str">
        <x:v>明确写品类、件数、容量和包装形态，避免名词堆叠和模糊描述。</x:v>
      </x:c>
      <x:c r="R17" s="31" t="str"/>
      <x:c r="S17" s="31" t="str">
        <x:v>不得用比喻或省略关键规格造成品类和数量误解。</x:v>
      </x:c>
    </x:row>
    <x:row r="18" ht="76" customHeight="1">
      <x:c r="A18" s="31" t="str">
        <x:v>IN-MX-007</x:v>
      </x:c>
      <x:c r="B18" s="31" t="str">
        <x:v>MX</x:v>
      </x:c>
      <x:c r="C18" s="31" t="str">
        <x:v>es-MX</x:v>
      </x:c>
      <x:c r="D18" s="31" t="str">
        <x:v>purchase_motivation</x:v>
      </x:c>
      <x:c r="E18" s="31" t="str">
        <x:v>value_for_money</x:v>
      </x:c>
      <x:c r="F18" s="31" t="str">
        <x:v>价格与质量、功能是否匹配是西语样本中的明确评价框架。</x:v>
      </x:c>
      <x:c r="G18" s="31" t="n">
        <x:v>4</x:v>
      </x:c>
      <x:c r="H18" s="31" t="n">
        <x:v>50</x:v>
      </x:c>
      <x:c r="I18" s="31" t="n">
        <x:v>2</x:v>
      </x:c>
      <x:c r="J18" s="32" t="b">
        <x:v>1</x:v>
      </x:c>
      <x:c r="K18" s="31" t="str">
        <x:v>low</x:v>
      </x:c>
      <x:c r="L18" s="31" t="str">
        <x:v>Spanish-language proxy for Mexico content</x:v>
      </x:c>
      <x:c r="M18" s="31" t="str">
        <x:v>blocked</x:v>
      </x:c>
      <x:c r="N18" s="31" t="str"/>
      <x:c r="O18" s="31" t="str"/>
      <x:c r="P18" s="31" t="str">
        <x:v>voice.trustworthy</x:v>
      </x:c>
      <x:c r="Q18" s="31" t="str">
        <x:v>保留为未来价格测试问题，不进入当前内容生成。</x:v>
      </x:c>
      <x:c r="R18" s="31" t="str">
        <x:v>项目事实库没有价格、折扣或竞品价格数据。</x:v>
      </x:c>
      <x:c r="S18" s="31" t="str">
        <x:v>不得生成económico、mejor precio、gran relación calidad-precio或虚构折扣。</x:v>
      </x:c>
    </x:row>
    <x:row r="19" ht="76" customHeight="1">
      <x:c r="A19" s="33" t="str">
        <x:v>IN-MX-008</x:v>
      </x:c>
      <x:c r="B19" s="33" t="str">
        <x:v>MX</x:v>
      </x:c>
      <x:c r="C19" s="33" t="str">
        <x:v>es-MX</x:v>
      </x:c>
      <x:c r="D19" s="33" t="str">
        <x:v>language_pattern</x:v>
      </x:c>
      <x:c r="E19" s="33" t="str">
        <x:v>evaluative_constructions</x:v>
      </x:c>
      <x:c r="F19" s="33" t="str">
        <x:v>西语样本通过esperaba más、no me gusta和relación calidad-precio等结构表达评价。</x:v>
      </x:c>
      <x:c r="G19" s="33" t="n">
        <x:v>4</x:v>
      </x:c>
      <x:c r="H19" s="33" t="n">
        <x:v>50</x:v>
      </x:c>
      <x:c r="I19" s="33" t="n">
        <x:v>2</x:v>
      </x:c>
      <x:c r="J19" s="34" t="b">
        <x:v>1</x:v>
      </x:c>
      <x:c r="K19" s="33" t="str">
        <x:v>low</x:v>
      </x:c>
      <x:c r="L19" s="33" t="str">
        <x:v>Spanish-language proxy for Mexico content</x:v>
      </x:c>
      <x:c r="M19" s="33" t="str">
        <x:v>strategy_only</x:v>
      </x:c>
      <x:c r="N19" s="33" t="str"/>
      <x:c r="O19" s="33" t="str"/>
      <x:c r="P19" s="33" t="str">
        <x:v>MX.pronoun.tú | MX.style.natural_clear</x:v>
      </x:c>
      <x:c r="Q19" s="33" t="str">
        <x:v>墨西哥文案保持自然评价结构和tú称呼，避免西班牙本土化词形及文化本质化。</x:v>
      </x:c>
      <x:c r="R19" s="33" t="str"/>
      <x:c r="S19" s="33" t="str">
        <x:v>不得将语言差异概括为固定民族或文化性格。</x:v>
      </x:c>
    </x:row>
  </x:sheetData>
  <x:mergeCells>
    <x:mergeCell ref="A1:S1"/>
    <x:mergeCell ref="A2:S2"/>
  </x:mergeCells>
  <x:conditionalFormatting sqref="M4:M19">
    <x:cfRule type="containsText" dxfId="0" priority="1" operator="containsText" text="eligible"/>
    <x:cfRule type="containsText" dxfId="1" priority="2" operator="containsText" text="blocked"/>
    <x:cfRule type="containsText" dxfId="2" priority="3" operator="containsText" text="strategy_only"/>
  </x:conditionalFormatting>
  <x:conditionalFormatting sqref="K4:K19">
    <x:cfRule type="containsText" dxfId="3" priority="4" operator="containsText" text="lo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48" hidden="0" customWidth="1"/>
    <x:col min="6" max="6" width="52" hidden="0" customWidth="1"/>
    <x:col min="7" max="7" width="31" hidden="0" customWidth="1"/>
  </x:cols>
  <x:sheetData>
    <x:row r="1" ht="30" customHeight="1">
      <x:c r="A1" s="3" t="str">
        <x:v>代表性原文证据</x:v>
      </x:c>
      <x:c r="B1" s="3"/>
      <x:c r="C1" s="3"/>
      <x:c r="D1" s="3"/>
      <x:c r="E1" s="3"/>
      <x:c r="F1" s="3"/>
      <x:c r="G1" s="3"/>
    </x:row>
    <x:row r="2" ht="30" customHeight="1">
      <x:c r="A2" s="7" t="str">
        <x:v>每条洞察保留2条短引文；完整support_n由evidence_review_ids计数。此页不包含冻结金标集。</x:v>
      </x:c>
      <x:c r="B2" s="7"/>
      <x:c r="C2" s="7"/>
      <x:c r="D2" s="7"/>
      <x:c r="E2" s="7"/>
      <x:c r="F2" s="7"/>
      <x:c r="G2" s="7"/>
    </x:row>
    <x:row r="3" ht="34" customHeight="1">
      <x:c r="A3" s="14" t="str">
        <x:v>insight_id</x:v>
      </x:c>
      <x:c r="B3" s="14" t="str">
        <x:v>market</x:v>
      </x:c>
      <x:c r="C3" s="14" t="str">
        <x:v>language</x:v>
      </x:c>
      <x:c r="D3" s="14" t="str">
        <x:v>review_id</x:v>
      </x:c>
      <x:c r="E3" s="14" t="str">
        <x:v>representative_quote</x:v>
      </x:c>
      <x:c r="F3" s="14" t="str">
        <x:v>source_file</x:v>
      </x:c>
      <x:c r="G3" s="14" t="str">
        <x:v>evidence_role</x:v>
      </x:c>
    </x:row>
    <x:row r="4" ht="46" customHeight="1">
      <x:c r="A4" s="29" t="str">
        <x:v>IN-US-001</x:v>
      </x:c>
      <x:c r="B4" s="29" t="str">
        <x:v>US</x:v>
      </x:c>
      <x:c r="C4" s="29" t="str">
        <x:v>en-US</x:v>
      </x:c>
      <x:c r="D4" s="29" t="str">
        <x:v>en_0530771</x:v>
      </x:c>
      <x:c r="E4" s="29" t="str">
        <x:v>They leave my face feeling nice and smooth.</x:v>
      </x:c>
      <x:c r="F4" s="29" t="str">
        <x:v>CrossBorder Voice/work/step3/manual_read_sample.jsonl</x:v>
      </x:c>
      <x:c r="G4" s="29" t="str">
        <x:v>exploratory_development_evidence</x:v>
      </x:c>
    </x:row>
    <x:row r="5" ht="46" customHeight="1">
      <x:c r="A5" s="31" t="str">
        <x:v>IN-US-001</x:v>
      </x:c>
      <x:c r="B5" s="31" t="str">
        <x:v>US</x:v>
      </x:c>
      <x:c r="C5" s="31" t="str">
        <x:v>en-US</x:v>
      </x:c>
      <x:c r="D5" s="31" t="str">
        <x:v>en_0603388</x:v>
      </x:c>
      <x:c r="E5" s="31" t="str">
        <x:v>good moisturizers aids with the softness of my skin</x:v>
      </x:c>
      <x:c r="F5" s="31" t="str">
        <x:v>CrossBorder Voice/work/step3/manual_read_sample.jsonl</x:v>
      </x:c>
      <x:c r="G5" s="31" t="str">
        <x:v>exploratory_development_evidence</x:v>
      </x:c>
    </x:row>
    <x:row r="6" ht="46" customHeight="1">
      <x:c r="A6" s="31" t="str">
        <x:v>IN-US-002</x:v>
      </x:c>
      <x:c r="B6" s="31" t="str">
        <x:v>US</x:v>
      </x:c>
      <x:c r="C6" s="31" t="str">
        <x:v>en-US</x:v>
      </x:c>
      <x:c r="D6" s="31" t="str">
        <x:v>en_0242056</x:v>
      </x:c>
      <x:c r="E6" s="31" t="str">
        <x:v>Too thick and sticky.</x:v>
      </x:c>
      <x:c r="F6" s="31" t="str">
        <x:v>CrossBorder Voice/work/step3/manual_read_sample.jsonl</x:v>
      </x:c>
      <x:c r="G6" s="31" t="str">
        <x:v>exploratory_development_evidence</x:v>
      </x:c>
    </x:row>
    <x:row r="7" ht="46" customHeight="1">
      <x:c r="A7" s="31" t="str">
        <x:v>IN-US-002</x:v>
      </x:c>
      <x:c r="B7" s="31" t="str">
        <x:v>US</x:v>
      </x:c>
      <x:c r="C7" s="31" t="str">
        <x:v>en-US</x:v>
      </x:c>
      <x:c r="D7" s="31" t="str">
        <x:v>en_0880555</x:v>
      </x:c>
      <x:c r="E7" s="31" t="str">
        <x:v>The consistency of the cream is pretty gelatinous.</x:v>
      </x:c>
      <x:c r="F7" s="31" t="str">
        <x:v>CrossBorder Voice/work/step3/manual_read_sample.jsonl</x:v>
      </x:c>
      <x:c r="G7" s="31" t="str">
        <x:v>exploratory_development_evidence</x:v>
      </x:c>
    </x:row>
    <x:row r="8" ht="46" customHeight="1">
      <x:c r="A8" s="31" t="str">
        <x:v>IN-US-003</x:v>
      </x:c>
      <x:c r="B8" s="31" t="str">
        <x:v>US</x:v>
      </x:c>
      <x:c r="C8" s="31" t="str">
        <x:v>en-US</x:v>
      </x:c>
      <x:c r="D8" s="31" t="str">
        <x:v>en_0251319</x:v>
      </x:c>
      <x:c r="E8" s="31" t="str">
        <x:v>All leaked out!!!!</x:v>
      </x:c>
      <x:c r="F8" s="31" t="str">
        <x:v>CrossBorder Voice/work/step3/manual_read_sample.jsonl</x:v>
      </x:c>
      <x:c r="G8" s="31" t="str">
        <x:v>exploratory_development_evidence</x:v>
      </x:c>
    </x:row>
    <x:row r="9" ht="46" customHeight="1">
      <x:c r="A9" s="31" t="str">
        <x:v>IN-US-003</x:v>
      </x:c>
      <x:c r="B9" s="31" t="str">
        <x:v>US</x:v>
      </x:c>
      <x:c r="C9" s="31" t="str">
        <x:v>en-US</x:v>
      </x:c>
      <x:c r="D9" s="31" t="str">
        <x:v>en_0095696</x:v>
      </x:c>
      <x:c r="E9" s="31" t="str">
        <x:v>the pump was broken in every single bottle I received.</x:v>
      </x:c>
      <x:c r="F9" s="31" t="str">
        <x:v>CrossBorder Voice/work/step3/manual_read_sample.jsonl</x:v>
      </x:c>
      <x:c r="G9" s="31" t="str">
        <x:v>exploratory_development_evidence</x:v>
      </x:c>
    </x:row>
    <x:row r="10" ht="46" customHeight="1">
      <x:c r="A10" s="31" t="str">
        <x:v>IN-US-004</x:v>
      </x:c>
      <x:c r="B10" s="31" t="str">
        <x:v>US</x:v>
      </x:c>
      <x:c r="C10" s="31" t="str">
        <x:v>en-US</x:v>
      </x:c>
      <x:c r="D10" s="31" t="str">
        <x:v>en_0397958</x:v>
      </x:c>
      <x:c r="E10" s="31" t="str">
        <x:v>Very easy to use</x:v>
      </x:c>
      <x:c r="F10" s="31" t="str">
        <x:v>CrossBorder Voice/work/step3/manual_read_sample.jsonl</x:v>
      </x:c>
      <x:c r="G10" s="31" t="str">
        <x:v>exploratory_development_evidence</x:v>
      </x:c>
    </x:row>
    <x:row r="11" ht="46" customHeight="1">
      <x:c r="A11" s="31" t="str">
        <x:v>IN-US-004</x:v>
      </x:c>
      <x:c r="B11" s="31" t="str">
        <x:v>US</x:v>
      </x:c>
      <x:c r="C11" s="31" t="str">
        <x:v>en-US</x:v>
      </x:c>
      <x:c r="D11" s="31" t="str">
        <x:v>en_0925778</x:v>
      </x:c>
      <x:c r="E11" s="31" t="str">
        <x:v>it makes it easy to dry my hair.</x:v>
      </x:c>
      <x:c r="F11" s="31" t="str">
        <x:v>CrossBorder Voice/work/step3/manual_read_sample.jsonl</x:v>
      </x:c>
      <x:c r="G11" s="31" t="str">
        <x:v>exploratory_development_evidence</x:v>
      </x:c>
    </x:row>
    <x:row r="12" ht="46" customHeight="1">
      <x:c r="A12" s="31" t="str">
        <x:v>IN-US-005</x:v>
      </x:c>
      <x:c r="B12" s="31" t="str">
        <x:v>US</x:v>
      </x:c>
      <x:c r="C12" s="31" t="str">
        <x:v>en-US</x:v>
      </x:c>
      <x:c r="D12" s="31" t="str">
        <x:v>en_0453126</x:v>
      </x:c>
      <x:c r="E12" s="31" t="str">
        <x:v>I bought these to use while traveling</x:v>
      </x:c>
      <x:c r="F12" s="31" t="str">
        <x:v>CrossBorder Voice/work/step3/manual_read_sample.jsonl</x:v>
      </x:c>
      <x:c r="G12" s="31" t="str">
        <x:v>exploratory_development_evidence</x:v>
      </x:c>
    </x:row>
    <x:row r="13" ht="46" customHeight="1">
      <x:c r="A13" s="31" t="str">
        <x:v>IN-US-005</x:v>
      </x:c>
      <x:c r="B13" s="31" t="str">
        <x:v>US</x:v>
      </x:c>
      <x:c r="C13" s="31" t="str">
        <x:v>en-US</x:v>
      </x:c>
      <x:c r="D13" s="31" t="str">
        <x:v>en_0261593</x:v>
      </x:c>
      <x:c r="E13" s="31" t="str">
        <x:v>Small enough to take with you or store in a drawer.</x:v>
      </x:c>
      <x:c r="F13" s="31" t="str">
        <x:v>CrossBorder Voice/work/step3/manual_read_sample.jsonl</x:v>
      </x:c>
      <x:c r="G13" s="31" t="str">
        <x:v>exploratory_development_evidence</x:v>
      </x:c>
    </x:row>
    <x:row r="14" ht="46" customHeight="1">
      <x:c r="A14" s="31" t="str">
        <x:v>IN-US-006</x:v>
      </x:c>
      <x:c r="B14" s="31" t="str">
        <x:v>US</x:v>
      </x:c>
      <x:c r="C14" s="31" t="str">
        <x:v>en-US</x:v>
      </x:c>
      <x:c r="D14" s="31" t="str">
        <x:v>en_0225811</x:v>
      </x:c>
      <x:c r="E14" s="31" t="str">
        <x:v>nothing like what’s is shown on the photo.</x:v>
      </x:c>
      <x:c r="F14" s="31" t="str">
        <x:v>CrossBorder Voice/work/step3/manual_read_sample.jsonl</x:v>
      </x:c>
      <x:c r="G14" s="31" t="str">
        <x:v>exploratory_development_evidence</x:v>
      </x:c>
    </x:row>
    <x:row r="15" ht="46" customHeight="1">
      <x:c r="A15" s="31" t="str">
        <x:v>IN-US-006</x:v>
      </x:c>
      <x:c r="B15" s="31" t="str">
        <x:v>US</x:v>
      </x:c>
      <x:c r="C15" s="31" t="str">
        <x:v>en-US</x:v>
      </x:c>
      <x:c r="D15" s="31" t="str">
        <x:v>en_0206087</x:v>
      </x:c>
      <x:c r="E15" s="31" t="str">
        <x:v>I got sent the wrong colors.</x:v>
      </x:c>
      <x:c r="F15" s="31" t="str">
        <x:v>CrossBorder Voice/work/step3/manual_read_sample.jsonl</x:v>
      </x:c>
      <x:c r="G15" s="31" t="str">
        <x:v>exploratory_development_evidence</x:v>
      </x:c>
    </x:row>
    <x:row r="16" ht="46" customHeight="1">
      <x:c r="A16" s="31" t="str">
        <x:v>IN-US-007</x:v>
      </x:c>
      <x:c r="B16" s="31" t="str">
        <x:v>US</x:v>
      </x:c>
      <x:c r="C16" s="31" t="str">
        <x:v>en-US</x:v>
      </x:c>
      <x:c r="D16" s="31" t="str">
        <x:v>en_0397958</x:v>
      </x:c>
      <x:c r="E16" s="31" t="str">
        <x:v>Decent price for the quality</x:v>
      </x:c>
      <x:c r="F16" s="31" t="str">
        <x:v>CrossBorder Voice/work/step3/manual_read_sample.jsonl</x:v>
      </x:c>
      <x:c r="G16" s="31" t="str">
        <x:v>exploratory_development_evidence</x:v>
      </x:c>
    </x:row>
    <x:row r="17" ht="46" customHeight="1">
      <x:c r="A17" s="31" t="str">
        <x:v>IN-US-007</x:v>
      </x:c>
      <x:c r="B17" s="31" t="str">
        <x:v>US</x:v>
      </x:c>
      <x:c r="C17" s="31" t="str">
        <x:v>en-US</x:v>
      </x:c>
      <x:c r="D17" s="31" t="str">
        <x:v>en_0530771</x:v>
      </x:c>
      <x:c r="E17" s="31" t="str">
        <x:v>Great deal as well!</x:v>
      </x:c>
      <x:c r="F17" s="31" t="str">
        <x:v>CrossBorder Voice/work/step3/manual_read_sample.jsonl</x:v>
      </x:c>
      <x:c r="G17" s="31" t="str">
        <x:v>exploratory_development_evidence</x:v>
      </x:c>
    </x:row>
    <x:row r="18" ht="46" customHeight="1">
      <x:c r="A18" s="31" t="str">
        <x:v>IN-US-008</x:v>
      </x:c>
      <x:c r="B18" s="31" t="str">
        <x:v>US</x:v>
      </x:c>
      <x:c r="C18" s="31" t="str">
        <x:v>en-US</x:v>
      </x:c>
      <x:c r="D18" s="31" t="str">
        <x:v>en_0397958</x:v>
      </x:c>
      <x:c r="E18" s="31" t="str">
        <x:v>Very easy to use</x:v>
      </x:c>
      <x:c r="F18" s="31" t="str">
        <x:v>CrossBorder Voice/work/step3/manual_read_sample.jsonl</x:v>
      </x:c>
      <x:c r="G18" s="31" t="str">
        <x:v>exploratory_development_evidence</x:v>
      </x:c>
    </x:row>
    <x:row r="19" ht="46" customHeight="1">
      <x:c r="A19" s="31" t="str">
        <x:v>IN-US-008</x:v>
      </x:c>
      <x:c r="B19" s="31" t="str">
        <x:v>US</x:v>
      </x:c>
      <x:c r="C19" s="31" t="str">
        <x:v>en-US</x:v>
      </x:c>
      <x:c r="D19" s="31" t="str">
        <x:v>en_0242056</x:v>
      </x:c>
      <x:c r="E19" s="31" t="str">
        <x:v>Too thick and sticky.</x:v>
      </x:c>
      <x:c r="F19" s="31" t="str">
        <x:v>CrossBorder Voice/work/step3/manual_read_sample.jsonl</x:v>
      </x:c>
      <x:c r="G19" s="31" t="str">
        <x:v>exploratory_development_evidence</x:v>
      </x:c>
    </x:row>
    <x:row r="20" ht="46" customHeight="1">
      <x:c r="A20" s="31" t="str">
        <x:v>IN-MX-001</x:v>
      </x:c>
      <x:c r="B20" s="31" t="str">
        <x:v>MX</x:v>
      </x:c>
      <x:c r="C20" s="31" t="str">
        <x:v>es-MX</x:v>
      </x:c>
      <x:c r="D20" s="31" t="str">
        <x:v>es_0258082</x:v>
      </x:c>
      <x:c r="E20" s="31" t="str">
        <x:v>el olor es muy agradable</x:v>
      </x:c>
      <x:c r="F20" s="31" t="str">
        <x:v>CrossBorder Voice/work/step3/manual_read_sample.jsonl</x:v>
      </x:c>
      <x:c r="G20" s="31" t="str">
        <x:v>exploratory_development_evidence</x:v>
      </x:c>
    </x:row>
    <x:row r="21" ht="46" customHeight="1">
      <x:c r="A21" s="31" t="str">
        <x:v>IN-MX-001</x:v>
      </x:c>
      <x:c r="B21" s="31" t="str">
        <x:v>MX</x:v>
      </x:c>
      <x:c r="C21" s="31" t="str">
        <x:v>es-MX</x:v>
      </x:c>
      <x:c r="D21" s="31" t="str">
        <x:v>es_0027587</x:v>
      </x:c>
      <x:c r="E21" s="31" t="str">
        <x:v>el olor a crema hidratante no me gusta nada.</x:v>
      </x:c>
      <x:c r="F21" s="31" t="str">
        <x:v>CrossBorder Voice/work/step3/manual_read_sample.jsonl</x:v>
      </x:c>
      <x:c r="G21" s="31" t="str">
        <x:v>exploratory_development_evidence</x:v>
      </x:c>
    </x:row>
    <x:row r="22" ht="46" customHeight="1">
      <x:c r="A22" s="31" t="str">
        <x:v>IN-MX-002</x:v>
      </x:c>
      <x:c r="B22" s="31" t="str">
        <x:v>MX</x:v>
      </x:c>
      <x:c r="C22" s="31" t="str">
        <x:v>es-MX</x:v>
      </x:c>
      <x:c r="D22" s="31" t="str">
        <x:v>es_0433673</x:v>
      </x:c>
      <x:c r="E22" s="31" t="str">
        <x:v>me deja el pelo grasoso</x:v>
      </x:c>
      <x:c r="F22" s="31" t="str">
        <x:v>CrossBorder Voice/work/step3/manual_read_sample.jsonl</x:v>
      </x:c>
      <x:c r="G22" s="31" t="str">
        <x:v>exploratory_development_evidence</x:v>
      </x:c>
    </x:row>
    <x:row r="23" ht="46" customHeight="1">
      <x:c r="A23" s="31" t="str">
        <x:v>IN-MX-002</x:v>
      </x:c>
      <x:c r="B23" s="31" t="str">
        <x:v>MX</x:v>
      </x:c>
      <x:c r="C23" s="31" t="str">
        <x:v>es-MX</x:v>
      </x:c>
      <x:c r="D23" s="31" t="str">
        <x:v>es_0027587</x:v>
      </x:c>
      <x:c r="E23" s="31" t="str">
        <x:v>No se absorbe bien</x:v>
      </x:c>
      <x:c r="F23" s="31" t="str">
        <x:v>CrossBorder Voice/work/step3/manual_read_sample.jsonl</x:v>
      </x:c>
      <x:c r="G23" s="31" t="str">
        <x:v>exploratory_development_evidence</x:v>
      </x:c>
    </x:row>
    <x:row r="24" ht="46" customHeight="1">
      <x:c r="A24" s="31" t="str">
        <x:v>IN-MX-003</x:v>
      </x:c>
      <x:c r="B24" s="31" t="str">
        <x:v>MX</x:v>
      </x:c>
      <x:c r="C24" s="31" t="str">
        <x:v>es-MX</x:v>
      </x:c>
      <x:c r="D24" s="31" t="str">
        <x:v>es_0735767</x:v>
      </x:c>
      <x:c r="E24" s="31" t="str">
        <x:v>ha llegado abierta</x:v>
      </x:c>
      <x:c r="F24" s="31" t="str">
        <x:v>CrossBorder Voice/work/step3/manual_read_sample.jsonl</x:v>
      </x:c>
      <x:c r="G24" s="31" t="str">
        <x:v>exploratory_development_evidence</x:v>
      </x:c>
    </x:row>
    <x:row r="25" ht="46" customHeight="1">
      <x:c r="A25" s="31" t="str">
        <x:v>IN-MX-003</x:v>
      </x:c>
      <x:c r="B25" s="31" t="str">
        <x:v>MX</x:v>
      </x:c>
      <x:c r="C25" s="31" t="str">
        <x:v>es-MX</x:v>
      </x:c>
      <x:c r="D25" s="31" t="str">
        <x:v>es_0647661</x:v>
      </x:c>
      <x:c r="E25" s="31" t="str">
        <x:v>Ha llegado con el embalaje machacado y el producto roto.</x:v>
      </x:c>
      <x:c r="F25" s="31" t="str">
        <x:v>CrossBorder Voice/work/step3/manual_read_sample.jsonl</x:v>
      </x:c>
      <x:c r="G25" s="31" t="str">
        <x:v>exploratory_development_evidence</x:v>
      </x:c>
    </x:row>
    <x:row r="26" ht="46" customHeight="1">
      <x:c r="A26" s="31" t="str">
        <x:v>IN-MX-004</x:v>
      </x:c>
      <x:c r="B26" s="31" t="str">
        <x:v>MX</x:v>
      </x:c>
      <x:c r="C26" s="31" t="str">
        <x:v>es-MX</x:v>
      </x:c>
      <x:c r="D26" s="31" t="str">
        <x:v>es_0799498</x:v>
      </x:c>
      <x:c r="E26" s="31" t="str">
        <x:v>todo recogido en el mismo sitio</x:v>
      </x:c>
      <x:c r="F26" s="31" t="str">
        <x:v>CrossBorder Voice/work/step3/manual_read_sample.jsonl</x:v>
      </x:c>
      <x:c r="G26" s="31" t="str">
        <x:v>exploratory_development_evidence</x:v>
      </x:c>
    </x:row>
    <x:row r="27" ht="46" customHeight="1">
      <x:c r="A27" s="31" t="str">
        <x:v>IN-MX-004</x:v>
      </x:c>
      <x:c r="B27" s="31" t="str">
        <x:v>MX</x:v>
      </x:c>
      <x:c r="C27" s="31" t="str">
        <x:v>es-MX</x:v>
      </x:c>
      <x:c r="D27" s="31" t="str">
        <x:v>es_0144429</x:v>
      </x:c>
      <x:c r="E27" s="31" t="str">
        <x:v>es muy sencillo de usar.</x:v>
      </x:c>
      <x:c r="F27" s="31" t="str">
        <x:v>CrossBorder Voice/work/step3/manual_read_sample.jsonl</x:v>
      </x:c>
      <x:c r="G27" s="31" t="str">
        <x:v>exploratory_development_evidence</x:v>
      </x:c>
    </x:row>
    <x:row r="28" ht="46" customHeight="1">
      <x:c r="A28" s="31" t="str">
        <x:v>IN-MX-005</x:v>
      </x:c>
      <x:c r="B28" s="31" t="str">
        <x:v>MX</x:v>
      </x:c>
      <x:c r="C28" s="31" t="str">
        <x:v>es-MX</x:v>
      </x:c>
      <x:c r="D28" s="31" t="str">
        <x:v>es_0144429</x:v>
      </x:c>
      <x:c r="E28" s="31" t="str">
        <x:v>muy pequeñito y manejable</x:v>
      </x:c>
      <x:c r="F28" s="31" t="str">
        <x:v>CrossBorder Voice/work/step3/manual_read_sample.jsonl</x:v>
      </x:c>
      <x:c r="G28" s="31" t="str">
        <x:v>exploratory_development_evidence</x:v>
      </x:c>
    </x:row>
    <x:row r="29" ht="46" customHeight="1">
      <x:c r="A29" s="31" t="str">
        <x:v>IN-MX-005</x:v>
      </x:c>
      <x:c r="B29" s="31" t="str">
        <x:v>MX</x:v>
      </x:c>
      <x:c r="C29" s="31" t="str">
        <x:v>es-MX</x:v>
      </x:c>
      <x:c r="D29" s="31" t="str">
        <x:v>es_0263596</x:v>
      </x:c>
      <x:c r="E29" s="31" t="str">
        <x:v>no pesa mucho</x:v>
      </x:c>
      <x:c r="F29" s="31" t="str">
        <x:v>CrossBorder Voice/work/step3/manual_read_sample.jsonl</x:v>
      </x:c>
      <x:c r="G29" s="31" t="str">
        <x:v>exploratory_development_evidence</x:v>
      </x:c>
    </x:row>
    <x:row r="30" ht="46" customHeight="1">
      <x:c r="A30" s="31" t="str">
        <x:v>IN-MX-006</x:v>
      </x:c>
      <x:c r="B30" s="31" t="str">
        <x:v>MX</x:v>
      </x:c>
      <x:c r="C30" s="31" t="str">
        <x:v>es-MX</x:v>
      </x:c>
      <x:c r="D30" s="31" t="str">
        <x:v>es_0104546</x:v>
      </x:c>
      <x:c r="E30" s="31" t="str">
        <x:v>El producto no se corresponde con la descripción</x:v>
      </x:c>
      <x:c r="F30" s="31" t="str">
        <x:v>CrossBorder Voice/work/step3/manual_read_sample.jsonl</x:v>
      </x:c>
      <x:c r="G30" s="31" t="str">
        <x:v>exploratory_development_evidence</x:v>
      </x:c>
    </x:row>
    <x:row r="31" ht="46" customHeight="1">
      <x:c r="A31" s="31" t="str">
        <x:v>IN-MX-006</x:v>
      </x:c>
      <x:c r="B31" s="31" t="str">
        <x:v>MX</x:v>
      </x:c>
      <x:c r="C31" s="31" t="str">
        <x:v>es-MX</x:v>
      </x:c>
      <x:c r="D31" s="31" t="str">
        <x:v>es_0888683</x:v>
      </x:c>
      <x:c r="E31" s="31" t="str">
        <x:v>el color es más claro de lo esperado</x:v>
      </x:c>
      <x:c r="F31" s="31" t="str">
        <x:v>CrossBorder Voice/work/step3/manual_read_sample.jsonl</x:v>
      </x:c>
      <x:c r="G31" s="31" t="str">
        <x:v>exploratory_development_evidence</x:v>
      </x:c>
    </x:row>
    <x:row r="32" ht="46" customHeight="1">
      <x:c r="A32" s="31" t="str">
        <x:v>IN-MX-007</x:v>
      </x:c>
      <x:c r="B32" s="31" t="str">
        <x:v>MX</x:v>
      </x:c>
      <x:c r="C32" s="31" t="str">
        <x:v>es-MX</x:v>
      </x:c>
      <x:c r="D32" s="31" t="str">
        <x:v>es_0122227</x:v>
      </x:c>
      <x:c r="E32" s="31" t="str">
        <x:v>estupenda relación con calidad precio.</x:v>
      </x:c>
      <x:c r="F32" s="31" t="str">
        <x:v>CrossBorder Voice/work/step3/manual_read_sample.jsonl</x:v>
      </x:c>
      <x:c r="G32" s="31" t="str">
        <x:v>exploratory_development_evidence</x:v>
      </x:c>
    </x:row>
    <x:row r="33" ht="46" customHeight="1">
      <x:c r="A33" s="31" t="str">
        <x:v>IN-MX-007</x:v>
      </x:c>
      <x:c r="B33" s="31" t="str">
        <x:v>MX</x:v>
      </x:c>
      <x:c r="C33" s="31" t="str">
        <x:v>es-MX</x:v>
      </x:c>
      <x:c r="D33" s="31" t="str">
        <x:v>es_0263596</x:v>
      </x:c>
      <x:c r="E33" s="31" t="str">
        <x:v>por su precio cumple bien su función</x:v>
      </x:c>
      <x:c r="F33" s="31" t="str">
        <x:v>CrossBorder Voice/work/step3/manual_read_sample.jsonl</x:v>
      </x:c>
      <x:c r="G33" s="31" t="str">
        <x:v>exploratory_development_evidence</x:v>
      </x:c>
    </x:row>
    <x:row r="34" ht="46" customHeight="1">
      <x:c r="A34" s="31" t="str">
        <x:v>IN-MX-008</x:v>
      </x:c>
      <x:c r="B34" s="31" t="str">
        <x:v>MX</x:v>
      </x:c>
      <x:c r="C34" s="31" t="str">
        <x:v>es-MX</x:v>
      </x:c>
      <x:c r="D34" s="31" t="str">
        <x:v>es_0539976</x:v>
      </x:c>
      <x:c r="E34" s="31" t="str">
        <x:v>Esperaba más calidad del producto.</x:v>
      </x:c>
      <x:c r="F34" s="31" t="str">
        <x:v>CrossBorder Voice/work/step3/manual_read_sample.jsonl</x:v>
      </x:c>
      <x:c r="G34" s="31" t="str">
        <x:v>exploratory_development_evidence</x:v>
      </x:c>
    </x:row>
    <x:row r="35" ht="46" customHeight="1">
      <x:c r="A35" s="33" t="str">
        <x:v>IN-MX-008</x:v>
      </x:c>
      <x:c r="B35" s="33" t="str">
        <x:v>MX</x:v>
      </x:c>
      <x:c r="C35" s="33" t="str">
        <x:v>es-MX</x:v>
      </x:c>
      <x:c r="D35" s="33" t="str">
        <x:v>es_0027587</x:v>
      </x:c>
      <x:c r="E35" s="33" t="str">
        <x:v>no me gusta nada.</x:v>
      </x:c>
      <x:c r="F35" s="33" t="str">
        <x:v>CrossBorder Voice/work/step3/manual_read_sample.jsonl</x:v>
      </x:c>
      <x:c r="G35" s="33" t="str">
        <x:v>exploratory_development_evidence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48" hidden="0" customWidth="1"/>
  </x:cols>
  <x:sheetData>
    <x:row r="1" ht="30" customHeight="1">
      <x:c r="A1" s="3" t="str">
        <x:v>市场与使用状态摘要</x:v>
      </x:c>
      <x:c r="B1" s="3"/>
      <x:c r="C1" s="3"/>
      <x:c r="D1" s="3"/>
      <x:c r="E1" s="3"/>
    </x:row>
    <x:row r="2" ht="30" customHeight="1">
      <x:c r="A2" s="7" t="str">
        <x:v>US和MX都是内容市场；证据分别为英语与西班牙语代理样本，均没有评论者国家字段。</x:v>
      </x:c>
      <x:c r="B2" s="7"/>
      <x:c r="C2" s="7"/>
      <x:c r="D2" s="7"/>
      <x:c r="E2" s="7"/>
    </x:row>
    <x:row r="3" ht="34" customHeight="1">
      <x:c r="A3" s="14" t="str">
        <x:v>metric</x:v>
      </x:c>
      <x:c r="B3" s="14" t="str">
        <x:v>US</x:v>
      </x:c>
      <x:c r="C3" s="14" t="str">
        <x:v>MX</x:v>
      </x:c>
      <x:c r="D3" s="14" t="str">
        <x:v>total</x:v>
      </x:c>
      <x:c r="E3" s="14" t="str">
        <x:v>interpretation</x:v>
      </x:c>
    </x:row>
    <x:row r="4" ht="36" customHeight="1">
      <x:c r="A4" s="29" t="str">
        <x:v>insight_count</x:v>
      </x:c>
      <x:c r="B4" s="38" t="n">
        <x:f>COUNTIF('Insight Mapping'!$B$4:$B$19,B$3)</x:f>
        <x:v>8</x:v>
      </x:c>
      <x:c r="C4" s="38" t="n">
        <x:f>COUNTIF('Insight Mapping'!$B$4:$B$19,C$3)</x:f>
        <x:v>8</x:v>
      </x:c>
      <x:c r="D4" s="38" t="n">
        <x:f>SUM(B4:C4)</x:f>
        <x:v>16</x:v>
      </x:c>
      <x:c r="E4" s="29" t="str">
        <x:v>两种市场各8条洞察</x:v>
      </x:c>
    </x:row>
    <x:row r="5" ht="36" customHeight="1">
      <x:c r="A5" s="31" t="str">
        <x:v>eligible</x:v>
      </x:c>
      <x:c r="B5" s="39" t="n">
        <x:f>COUNTIFS('Insight Mapping'!$B$4:$B$19,B$3,'Insight Mapping'!$M$4:$M$19,"eligible")</x:f>
        <x:v>5</x:v>
      </x:c>
      <x:c r="C5" s="39" t="n">
        <x:f>COUNTIFS('Insight Mapping'!$B$4:$B$19,C$3,'Insight Mapping'!$M$4:$M$19,"eligible")</x:f>
        <x:v>5</x:v>
      </x:c>
      <x:c r="D5" s="39" t="n">
        <x:f>SUM(B5:C5)</x:f>
        <x:v>10</x:v>
      </x:c>
      <x:c r="E5" s="31" t="str">
        <x:v>有商品事实和品牌规则支持</x:v>
      </x:c>
    </x:row>
    <x:row r="6" ht="36" customHeight="1">
      <x:c r="A6" s="31" t="str">
        <x:v>blocked</x:v>
      </x:c>
      <x:c r="B6" s="39" t="n">
        <x:f>COUNTIFS('Insight Mapping'!$B$4:$B$19,B$3,'Insight Mapping'!$M$4:$M$19,"blocked")</x:f>
        <x:v>2</x:v>
      </x:c>
      <x:c r="C6" s="39" t="n">
        <x:f>COUNTIFS('Insight Mapping'!$B$4:$B$19,C$3,'Insight Mapping'!$M$4:$M$19,"blocked")</x:f>
        <x:v>2</x:v>
      </x:c>
      <x:c r="D6" s="39" t="n">
        <x:f>SUM(B6:C6)</x:f>
        <x:v>4</x:v>
      </x:c>
      <x:c r="E6" s="31" t="str">
        <x:v>因缺少产品或价格事实而阻断</x:v>
      </x:c>
    </x:row>
    <x:row r="7" ht="36" customHeight="1">
      <x:c r="A7" s="31" t="str">
        <x:v>strategy_only</x:v>
      </x:c>
      <x:c r="B7" s="39" t="n">
        <x:f>COUNTIFS('Insight Mapping'!$B$4:$B$19,B$3,'Insight Mapping'!$M$4:$M$19,"strategy_only")</x:f>
        <x:v>1</x:v>
      </x:c>
      <x:c r="C7" s="39" t="n">
        <x:f>COUNTIFS('Insight Mapping'!$B$4:$B$19,C$3,'Insight Mapping'!$M$4:$M$19,"strategy_only")</x:f>
        <x:v>1</x:v>
      </x:c>
      <x:c r="D7" s="39" t="n">
        <x:f>SUM(B7:C7)</x:f>
        <x:v>2</x:v>
      </x:c>
      <x:c r="E7" s="31" t="str">
        <x:v>仅改变语言策略，不产生商品宣称</x:v>
      </x:c>
    </x:row>
    <x:row r="8" ht="36" customHeight="1">
      <x:c r="A8" s="31" t="str">
        <x:v>support_evidence_count</x:v>
      </x:c>
      <x:c r="B8" s="39" t="n">
        <x:f>SUMIF('Insight Mapping'!$B$4:$B$19,B$3,'Insight Mapping'!$G$4:$G$19)</x:f>
        <x:v>28</x:v>
      </x:c>
      <x:c r="C8" s="39" t="n">
        <x:f>SUMIF('Insight Mapping'!$B$4:$B$19,C$3,'Insight Mapping'!$G$4:$G$19)</x:f>
        <x:v>29</x:v>
      </x:c>
      <x:c r="D8" s="39" t="n">
        <x:f>SUM(B8:C8)</x:f>
        <x:v>57</x:v>
      </x:c>
      <x:c r="E8" s="31" t="str">
        <x:v>探索样本中的显式证据合计，不是市场频率</x:v>
      </x:c>
    </x:row>
    <x:row r="9" ht="36" customHeight="1">
      <x:c r="A9" s="31" t="str">
        <x:v>reviewed_language_sample</x:v>
      </x:c>
      <x:c r="B9" s="39" t="n">
        <x:v>50</x:v>
      </x:c>
      <x:c r="C9" s="39" t="n">
        <x:v>50</x:v>
      </x:c>
      <x:c r="D9" s="39" t="n">
        <x:f>SUM(B9:C9)</x:f>
        <x:v>100</x:v>
      </x:c>
      <x:c r="E9" s="31" t="str">
        <x:v>开发样本100条：英语50、西语50</x:v>
      </x:c>
    </x:row>
    <x:row r="10" ht="36" customHeight="1">
      <x:c r="A10" s="33" t="str">
        <x:v>minimum_support_threshold</x:v>
      </x:c>
      <x:c r="B10" s="40" t="n">
        <x:v>2</x:v>
      </x:c>
      <x:c r="C10" s="40" t="n">
        <x:v>2</x:v>
      </x:c>
      <x:c r="D10" s="40" t="n">
        <x:f>MIN(B10:C10)</x:f>
        <x:v>2</x:v>
      </x:c>
      <x:c r="E10" s="33" t="str">
        <x:v>同一语言至少2条明确证据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9" hidden="0" customWidth="1"/>
    <x:col min="3" max="3" width="37" hidden="0" customWidth="1"/>
    <x:col min="4" max="4" width="59" hidden="0" customWidth="1"/>
    <x:col min="5" max="5" width="40" hidden="0" customWidth="1"/>
    <x:col min="6" max="6" width="14" hidden="0" customWidth="1"/>
  </x:cols>
  <x:sheetData>
    <x:row r="1" ht="30" customHeight="1">
      <x:c r="A1" s="3" t="str">
        <x:v>来源、角色与限制</x:v>
      </x:c>
      <x:c r="B1" s="3"/>
      <x:c r="C1" s="3"/>
      <x:c r="D1" s="3"/>
      <x:c r="E1" s="3"/>
      <x:c r="F1" s="3"/>
    </x:row>
    <x:row r="2" ht="30" customHeight="1">
      <x:c r="A2" s="7" t="str">
        <x:v>冻结金标评测集未被用于本阶段开发；英语和西语样本均没有评论者国家字段。</x:v>
      </x:c>
      <x:c r="B2" s="7"/>
      <x:c r="C2" s="7"/>
      <x:c r="D2" s="7"/>
      <x:c r="E2" s="7"/>
      <x:c r="F2" s="7"/>
    </x:row>
    <x:row r="3" ht="34" customHeight="1">
      <x:c r="A3" s="14" t="str">
        <x:v>source_id</x:v>
      </x:c>
      <x:c r="B3" s="14" t="str">
        <x:v>source_name</x:v>
      </x:c>
      <x:c r="C3" s="14" t="str">
        <x:v>scope</x:v>
      </x:c>
      <x:c r="D3" s="14" t="str">
        <x:v>path_or_url</x:v>
      </x:c>
      <x:c r="E3" s="14" t="str">
        <x:v>usage_note</x:v>
      </x:c>
      <x:c r="F3" s="14" t="str">
        <x:v>verified_date</x:v>
      </x:c>
    </x:row>
    <x:row r="4" ht="58" customHeight="1">
      <x:c r="A4" s="29" t="str">
        <x:v>SRC-INS-001</x:v>
      </x:c>
      <x:c r="B4" s="29" t="str">
        <x:v>CrossBorder Voice manual-read sample</x:v>
      </x:c>
      <x:c r="C4" s="29" t="str">
        <x:v>开发用探索样本，100条，英语50/西语50</x:v>
      </x:c>
      <x:c r="D4" s="29" t="str">
        <x:v>CrossBorder Voice/work/step3/manual_read_sample.jsonl</x:v>
      </x:c>
      <x:c r="E4" s="29" t="str">
        <x:v>允许用于洞察假设和内容方向；不得当作市场发生率。</x:v>
      </x:c>
      <x:c r="F4" s="29" t="str">
        <x:v>2026-07-28</x:v>
      </x:c>
    </x:row>
    <x:row r="5" ht="58" customHeight="1">
      <x:c r="A5" s="31" t="str">
        <x:v>SRC-INS-002</x:v>
      </x:c>
      <x:c r="B5" s="31" t="str">
        <x:v>CrossBorder Voice initial findings</x:v>
      </x:c>
      <x:c r="C5" s="31" t="str">
        <x:v>人工通读发现与样本边界</x:v>
      </x:c>
      <x:c r="D5" s="31" t="str">
        <x:v>CrossBorder Voice/reports/initial_findings.md</x:v>
      </x:c>
      <x:c r="E5" s="31" t="str">
        <x:v>用于复核主题，不替代全量统计。</x:v>
      </x:c>
      <x:c r="F5" s="31" t="str">
        <x:v>2026-07-28</x:v>
      </x:c>
    </x:row>
    <x:row r="6" ht="58" customHeight="1">
      <x:c r="A6" s="31" t="str">
        <x:v>SRC-INS-003</x:v>
      </x:c>
      <x:c r="B6" s="31" t="str">
        <x:v>MARC data source note</x:v>
      </x:c>
      <x:c r="C6" s="31" t="str">
        <x:v>数据集来源、2015—2019时间范围和使用限制</x:v>
      </x:c>
      <x:c r="D6" s="31" t="str">
        <x:v>CrossBorder Voice/data/DATA_SOURCE.md</x:v>
      </x:c>
      <x:c r="E6" s="31" t="str">
        <x:v>只用于验证方法和系统能力，不代表2026趋势。</x:v>
      </x:c>
      <x:c r="F6" s="31" t="str">
        <x:v>2026-07-28</x:v>
      </x:c>
    </x:row>
    <x:row r="7" ht="58" customHeight="1">
      <x:c r="A7" s="31" t="str">
        <x:v>SRC-INS-004</x:v>
      </x:c>
      <x:c r="B7" s="31" t="str">
        <x:v>LocalizeFlow product facts</x:v>
      </x:c>
      <x:c r="C7" s="31" t="str">
        <x:v>商品类型、规格、用法、允许功效和风险边界</x:v>
      </x:c>
      <x:c r="D7" s="31" t="str">
        <x:v>data/products/product_facts.csv</x:v>
      </x:c>
      <x:c r="E7" s="31" t="str">
        <x:v>所有拟使用卖点必须关联现有fact_id。</x:v>
      </x:c>
      <x:c r="F7" s="31" t="str">
        <x:v>2026-07-28</x:v>
      </x:c>
    </x:row>
    <x:row r="8" ht="58" customHeight="1">
      <x:c r="A8" s="31" t="str">
        <x:v>SRC-INS-005</x:v>
      </x:c>
      <x:c r="B8" s="31" t="str">
        <x:v>Mirevane brand voice guide</x:v>
      </x:c>
      <x:c r="C8" s="31" t="str">
        <x:v>英语与墨西哥西语品牌语气和证据等级</x:v>
      </x:c>
      <x:c r="D8" s="31" t="str">
        <x:v>data/brand/brand_voice_guide.md</x:v>
      </x:c>
      <x:c r="E8" s="31" t="str">
        <x:v>所有拟使用卖点必须关联品牌规则。</x:v>
      </x:c>
      <x:c r="F8" s="31" t="str">
        <x:v>2026-07-28</x:v>
      </x:c>
    </x:row>
    <x:row r="9" ht="58" customHeight="1">
      <x:c r="A9" s="33" t="str">
        <x:v>SRC-INS-006</x:v>
      </x:c>
      <x:c r="B9" s="33" t="str">
        <x:v>Consumer insights JSON</x:v>
      </x:c>
      <x:c r="C9" s="33" t="str">
        <x:v>阶段5机器可读洞察主文件</x:v>
      </x:c>
      <x:c r="D9" s="33" t="str">
        <x:v>data/insights/consumer_insights.json</x:v>
      </x:c>
      <x:c r="E9" s="33" t="str">
        <x:v>工作簿从该JSON生成；JSON为洞察主数据。</x:v>
      </x:c>
      <x:c r="F9" s="33" t="str">
        <x:v>2026-07-28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3" t="str">
        <x:v>阶段5｜事实—洞察—品牌三重门槛检查</x:v>
      </x:c>
      <x:c r="B1" s="3"/>
      <x:c r="C1" s="3"/>
      <x:c r="D1" s="3"/>
    </x:row>
    <x:row r="2" ht="30" customHeight="1">
      <x:c r="A2" s="7" t="str">
        <x:v>PASS表示数据结构和项目内部规则检查通过，不表示样本能够代表美国或墨西哥总体市场。</x:v>
      </x:c>
      <x:c r="B2" s="7"/>
      <x:c r="C2" s="7"/>
      <x:c r="D2" s="7"/>
    </x:row>
    <x:row r="3" ht="34" customHeight="1">
      <x:c r="A3" s="14" t="str">
        <x:v>check</x:v>
      </x:c>
      <x:c r="B3" s="14" t="str">
        <x:v>result</x:v>
      </x:c>
      <x:c r="C3" s="14" t="str">
        <x:v>target</x:v>
      </x:c>
      <x:c r="D3" s="14" t="str">
        <x:v>status</x:v>
      </x:c>
    </x:row>
    <x:row r="4" ht="29" customHeight="1">
      <x:c r="A4" s="29" t="str">
        <x:v>洞察记录数</x:v>
      </x:c>
      <x:c r="B4" s="35" t="n">
        <x:f>COUNTA('Insight Mapping'!$A$4:$A$19)</x:f>
        <x:v>16</x:v>
      </x:c>
      <x:c r="C4" s="35" t="n">
        <x:v>16</x:v>
      </x:c>
      <x:c r="D4" s="41" t="str">
        <x:f>IF(B4=C4,"PASS","CHECK")</x:f>
        <x:v>PASS</x:v>
      </x:c>
    </x:row>
    <x:row r="5" ht="29" customHeight="1">
      <x:c r="A5" s="31" t="str">
        <x:v>美国内容洞察数</x:v>
      </x:c>
      <x:c r="B5" s="36" t="n">
        <x:f>COUNTIF('Insight Mapping'!$B$4:$B$19,"US")</x:f>
        <x:v>8</x:v>
      </x:c>
      <x:c r="C5" s="36" t="n">
        <x:v>8</x:v>
      </x:c>
      <x:c r="D5" s="42" t="str">
        <x:f>IF(B5=C5,"PASS","CHECK")</x:f>
        <x:v>PASS</x:v>
      </x:c>
    </x:row>
    <x:row r="6" ht="29" customHeight="1">
      <x:c r="A6" s="31" t="str">
        <x:v>墨西哥内容洞察数</x:v>
      </x:c>
      <x:c r="B6" s="36" t="n">
        <x:f>COUNTIF('Insight Mapping'!$B$4:$B$19,"MX")</x:f>
        <x:v>8</x:v>
      </x:c>
      <x:c r="C6" s="36" t="n">
        <x:v>8</x:v>
      </x:c>
      <x:c r="D6" s="42" t="str">
        <x:f>IF(B6=C6,"PASS","CHECK")</x:f>
        <x:v>PASS</x:v>
      </x:c>
    </x:row>
    <x:row r="7" ht="29" customHeight="1">
      <x:c r="A7" s="31" t="str">
        <x:v>低于最小样本门槛</x:v>
      </x:c>
      <x:c r="B7" s="36" t="n">
        <x:f>COUNTIF('Insight Mapping'!$J$4:$J$19,FALSE)</x:f>
        <x:v>0</x:v>
      </x:c>
      <x:c r="C7" s="36" t="n">
        <x:v>0</x:v>
      </x:c>
      <x:c r="D7" s="42" t="str">
        <x:f>IF(B7=C7,"PASS","CHECK")</x:f>
        <x:v>PASS</x:v>
      </x:c>
    </x:row>
    <x:row r="8" ht="29" customHeight="1">
      <x:c r="A8" s="31" t="str">
        <x:v>可用于内容选择</x:v>
      </x:c>
      <x:c r="B8" s="36" t="n">
        <x:f>COUNTIF('Insight Mapping'!$M$4:$M$19,"eligible")</x:f>
        <x:v>10</x:v>
      </x:c>
      <x:c r="C8" s="36" t="n">
        <x:v>10</x:v>
      </x:c>
      <x:c r="D8" s="42" t="str">
        <x:f>IF(B8=C8,"PASS","CHECK")</x:f>
        <x:v>PASS</x:v>
      </x:c>
    </x:row>
    <x:row r="9" ht="29" customHeight="1">
      <x:c r="A9" s="31" t="str">
        <x:v>阻断角度</x:v>
      </x:c>
      <x:c r="B9" s="36" t="n">
        <x:f>COUNTIF('Insight Mapping'!$M$4:$M$19,"blocked")</x:f>
        <x:v>4</x:v>
      </x:c>
      <x:c r="C9" s="36" t="n">
        <x:v>4</x:v>
      </x:c>
      <x:c r="D9" s="42" t="str">
        <x:f>IF(B9=C9,"PASS","CHECK")</x:f>
        <x:v>PASS</x:v>
      </x:c>
    </x:row>
    <x:row r="10" ht="29" customHeight="1">
      <x:c r="A10" s="31" t="str">
        <x:v>仅语言策略</x:v>
      </x:c>
      <x:c r="B10" s="36" t="n">
        <x:f>COUNTIF('Insight Mapping'!$M$4:$M$19,"strategy_only")</x:f>
        <x:v>2</x:v>
      </x:c>
      <x:c r="C10" s="36" t="n">
        <x:v>2</x:v>
      </x:c>
      <x:c r="D10" s="42" t="str">
        <x:f>IF(B10=C10,"PASS","CHECK")</x:f>
        <x:v>PASS</x:v>
      </x:c>
    </x:row>
    <x:row r="11" ht="29" customHeight="1">
      <x:c r="A11" s="31" t="str">
        <x:v>可用洞察缺少fact_id</x:v>
      </x:c>
      <x:c r="B11" s="36" t="n">
        <x:f>COUNTIFS('Insight Mapping'!$M$4:$M$19,"eligible",'Insight Mapping'!$O$4:$O$19,"")</x:f>
        <x:v>0</x:v>
      </x:c>
      <x:c r="C11" s="36" t="n">
        <x:v>0</x:v>
      </x:c>
      <x:c r="D11" s="42" t="str">
        <x:f>IF(B11=C11,"PASS","CHECK")</x:f>
        <x:v>PASS</x:v>
      </x:c>
    </x:row>
    <x:row r="12" ht="29" customHeight="1">
      <x:c r="A12" s="31" t="str">
        <x:v>可用洞察缺少品牌规则</x:v>
      </x:c>
      <x:c r="B12" s="36" t="n">
        <x:f>COUNTIFS('Insight Mapping'!$M$4:$M$19,"eligible",'Insight Mapping'!$P$4:$P$19,"")</x:f>
        <x:v>0</x:v>
      </x:c>
      <x:c r="C12" s="36" t="n">
        <x:v>0</x:v>
      </x:c>
      <x:c r="D12" s="42" t="str">
        <x:f>IF(B12=C12,"PASS","CHECK")</x:f>
        <x:v>PASS</x:v>
      </x:c>
    </x:row>
    <x:row r="13" ht="29" customHeight="1">
      <x:c r="A13" s="31" t="str">
        <x:v>代表性证据行数</x:v>
      </x:c>
      <x:c r="B13" s="36" t="n">
        <x:f>COUNTA('Evidence'!$A$4:$A$35)</x:f>
        <x:v>32</x:v>
      </x:c>
      <x:c r="C13" s="36" t="n">
        <x:v>32</x:v>
      </x:c>
      <x:c r="D13" s="42" t="str">
        <x:f>IF(B13=C13,"PASS","CHECK")</x:f>
        <x:v>PASS</x:v>
      </x:c>
    </x:row>
    <x:row r="14" ht="29" customHeight="1">
      <x:c r="A14" s="31" t="str">
        <x:v>证据页出现gold路径</x:v>
      </x:c>
      <x:c r="B14" s="36" t="n">
        <x:f>COUNTIF('Evidence'!$F$4:$F$35,"*gold*")</x:f>
        <x:v>0</x:v>
      </x:c>
      <x:c r="C14" s="36" t="n">
        <x:v>0</x:v>
      </x:c>
      <x:c r="D14" s="42" t="str">
        <x:f>IF(B14=C14,"PASS","CHECK")</x:f>
        <x:v>PASS</x:v>
      </x:c>
    </x:row>
    <x:row r="15" ht="29" customHeight="1">
      <x:c r="A15" s="33" t="str">
        <x:v>代理样本范围标记数</x:v>
      </x:c>
      <x:c r="B15" s="37" t="n">
        <x:f>COUNTIF('Insight Mapping'!$L$4:$L$19,"English-language proxy for US content")+COUNTIF('Insight Mapping'!$L$4:$L$19,"Spanish-language proxy for Mexico content")</x:f>
        <x:v>16</x:v>
      </x:c>
      <x:c r="C15" s="37" t="n">
        <x:v>16</x:v>
      </x:c>
      <x:c r="D15" s="43" t="str">
        <x:f>IF(B15=C15,"PASS","CHECK")</x:f>
        <x:v>PASS</x:v>
      </x:c>
    </x:row>
  </x:sheetData>
  <x:mergeCells>
    <x:mergeCell ref="A1:D1"/>
    <x:mergeCell ref="A2:D2"/>
  </x:mergeCells>
  <x:conditionalFormatting sqref="D4:D15">
    <x:cfRule type="containsText" dxfId="4" priority="1" operator="containsText" text="PASS"/>
    <x:cfRule type="containsText" dxfId="5" priority="2" operator="containsText" text="CHECK"/>
  </x:conditionalFormatting>
  <x:pageMargins left="0.7" right="0.7" top="0.75" bottom="0.75" header="0.3" footer="0.3"/>
</x:worksheet>
</file>