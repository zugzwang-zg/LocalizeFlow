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f2f2bb4e6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inology" sheetId="1" r:id="R5f5c31ef89f04c23"/>
    <x:sheet xmlns:r="http://schemas.openxmlformats.org/officeDocument/2006/relationships" name="Tone Patterns" sheetId="2" r:id="R3ac0deb86d36423c"/>
    <x:sheet xmlns:r="http://schemas.openxmlformats.org/officeDocument/2006/relationships" name="Prohibited Terms" sheetId="3" r:id="R7adb30f8d75e4180"/>
    <x:sheet xmlns:r="http://schemas.openxmlformats.org/officeDocument/2006/relationships" name="Caution Terms" sheetId="4" r:id="Re576fc54b6c4431c"/>
    <x:sheet xmlns:r="http://schemas.openxmlformats.org/officeDocument/2006/relationships" name="Source Notes" sheetId="5" r:id="Rc66cc61b75254b70"/>
    <x:sheet xmlns:r="http://schemas.openxmlformats.org/officeDocument/2006/relationships" name="QA Summary" sheetId="6" r:id="R8baf2112c30e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36F"/>
      <x:name val="Carlito"/>
    </x:font>
    <x:font>
      <x:b/>
      <x:sz val="10"/>
      <x:color rgb="FFFFFFFF"/>
      <x:name val="Carlito"/>
    </x:font>
    <x:font>
      <x:sz val="9"/>
      <x:color rgb="FF21302D"/>
      <x:name val="Carlito"/>
    </x:font>
    <x:font>
      <x:b/>
      <x:sz val="11"/>
      <x:color rgb="FFFFFFFF"/>
      <x:name val="Carlito"/>
    </x:font>
    <x:font>
      <x:sz val="10"/>
      <x:color rgb="FF21302D"/>
      <x:name val="Carlito"/>
    </x:font>
    <x:font>
      <x:i/>
      <x:sz val="9"/>
      <x:color rgb="FF2130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F63"/>
      </x:patternFill>
    </x:fill>
    <x:fill>
      <x:patternFill patternType="solid">
        <x:fgColor rgb="FFF5F1E8"/>
      </x:patternFill>
    </x:fill>
    <x:fill>
      <x:patternFill patternType="solid">
        <x:fgColor rgb="FFD98C6A"/>
      </x:patternFill>
    </x:fill>
    <x:fill>
      <x:patternFill patternType="solid">
        <x:fgColor rgb="FFF7E4DA"/>
      </x:patternFill>
    </x:fill>
  </x:fills>
  <x:borders count="4">
    <x:border/>
    <x:border>
      <x:bottom style="thin">
        <x:color rgb="FFD4DDD9"/>
      </x:bottom>
    </x:border>
    <x:border>
      <x:top style="thin">
        <x:color rgb="FFD4DDD9"/>
      </x:top>
      <x:bottom style="thin">
        <x:color rgb="FFD4DDD9"/>
      </x:bottom>
    </x:border>
    <x:border>
      <x:top style="thin">
        <x:color rgb="FFD4DDD9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A33A2B"/>
      </x:font>
      <x:fill>
        <x:patternFill patternType="solid">
          <x:bgColor rgb="FFFCE8E6"/>
        </x:patternFill>
      </x:fill>
    </x:dxf>
    <x:dxf>
      <x:font>
        <x:b/>
        <x:color rgb="FF7A5B00"/>
      </x:font>
      <x:fill>
        <x:patternFill patternType="solid">
          <x:bgColor rgb="FFFFF3CD"/>
        </x:patternFill>
      </x:fill>
    </x:dxf>
    <x:dxf>
      <x:font>
        <x:b/>
        <x:color rgb="FF2F6F63"/>
      </x:font>
      <x:fill>
        <x:patternFill patternType="solid">
          <x:bgColor rgb="FFDDF2E4"/>
        </x:patternFill>
      </x:fill>
    </x:dxf>
    <x:dxf>
      <x:font>
        <x:b/>
        <x:color rgb="FFA33A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8b788bd164992" /><Relationship Type="http://schemas.openxmlformats.org/officeDocument/2006/relationships/theme" Target="/xl/theme/theme1.xml" Id="R30898dc29e2442cf" /><Relationship Type="http://schemas.openxmlformats.org/officeDocument/2006/relationships/sharedStrings" Target="/xl/sharedStrings.xml" Id="R90437dce91b34087" /><Relationship Type="http://schemas.openxmlformats.org/officeDocument/2006/relationships/worksheet" Target="/xl/worksheets/sheet1.xml" Id="R5f5c31ef89f04c23" /><Relationship Type="http://schemas.openxmlformats.org/officeDocument/2006/relationships/worksheet" Target="/xl/worksheets/sheet2.xml" Id="R3ac0deb86d36423c" /><Relationship Type="http://schemas.openxmlformats.org/officeDocument/2006/relationships/worksheet" Target="/xl/worksheets/sheet3.xml" Id="R7adb30f8d75e4180" /><Relationship Type="http://schemas.openxmlformats.org/officeDocument/2006/relationships/worksheet" Target="/xl/worksheets/sheet4.xml" Id="Re576fc54b6c4431c" /><Relationship Type="http://schemas.openxmlformats.org/officeDocument/2006/relationships/worksheet" Target="/xl/worksheets/sheet5.xml" Id="Rc66cc61b75254b70" /><Relationship Type="http://schemas.openxmlformats.org/officeDocument/2006/relationships/worksheet" Target="/xl/worksheets/sheet6.xml" Id="R8baf2112c30e43bb" /></Relationships>
</file>

<file path=xl/tables/table1.xml><?xml version="1.0" encoding="utf-8"?>
<x:table xmlns:x="http://schemas.openxmlformats.org/spreadsheetml/2006/main" id="1" name="TerminologyTable" displayName="TerminologyTable" ref="A3:L43" headerRowCount="1" totalsRowCount="0" totalsRowShown="0">
  <x:autoFilter ref="A3:L43"/>
  <x:tableColumns count="12">
    <x:tableColumn id="1" name="term_id"/>
    <x:tableColumn id="2" name="category"/>
    <x:tableColumn id="3" name="concept_zh"/>
    <x:tableColumn id="4" name="preferred_en"/>
    <x:tableColumn id="5" name="preferred_es"/>
    <x:tableColumn id="6" name="allowed_variants"/>
    <x:tableColumn id="7" name="avoid_terms"/>
    <x:tableColumn id="8" name="reason"/>
    <x:tableColumn id="9" name="example"/>
    <x:tableColumn id="10" name="market_notes"/>
    <x:tableColumn id="11" name="source_basis"/>
    <x:tableColumn id="12" name="vers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onePatternsTable" displayName="TonePatternsTable" ref="A3:F13" headerRowCount="1" totalsRowCount="0" totalsRowShown="0">
  <x:autoFilter ref="A3:F13"/>
  <x:tableColumns count="6">
    <x:tableColumn id="1" name="intent"/>
    <x:tableColumn id="2" name="preferred_en"/>
    <x:tableColumn id="3" name="preferred_es"/>
    <x:tableColumn id="4" name="avoid_en"/>
    <x:tableColumn id="5" name="avoid_es"/>
    <x:tableColumn id="6" name="reas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rohibitedTermsTable" displayName="ProhibitedTermsTable" ref="A3:N27" headerRowCount="1" totalsRowCount="0" totalsRowShown="0">
  <x:autoFilter ref="A3:N27"/>
  <x:tableColumns count="14">
    <x:tableColumn id="1" name="rule_id"/>
    <x:tableColumn id="2" name="list_type"/>
    <x:tableColumn id="3" name="category"/>
    <x:tableColumn id="4" name="term_en"/>
    <x:tableColumn id="5" name="term_es"/>
    <x:tableColumn id="6" name="detection_mode"/>
    <x:tableColumn id="7" name="severity"/>
    <x:tableColumn id="8" name="reason_zh"/>
    <x:tableColumn id="9" name="safe_alternative_en"/>
    <x:tableColumn id="10" name="safe_alternative_es"/>
    <x:tableColumn id="11" name="evidence_required"/>
    <x:tableColumn id="12" name="source_url"/>
    <x:tableColumn id="13" name="verified_date"/>
    <x:tableColumn id="14" name="versi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CautionTermsTable" displayName="CautionTermsTable" ref="A3:N19" headerRowCount="1" totalsRowCount="0" totalsRowShown="0">
  <x:autoFilter ref="A3:N19"/>
  <x:tableColumns count="14">
    <x:tableColumn id="1" name="rule_id"/>
    <x:tableColumn id="2" name="list_type"/>
    <x:tableColumn id="3" name="category"/>
    <x:tableColumn id="4" name="term_en"/>
    <x:tableColumn id="5" name="term_es"/>
    <x:tableColumn id="6" name="detection_mode"/>
    <x:tableColumn id="7" name="severity"/>
    <x:tableColumn id="8" name="reason_zh"/>
    <x:tableColumn id="9" name="safe_alternative_en"/>
    <x:tableColumn id="10" name="safe_alternative_es"/>
    <x:tableColumn id="11" name="evidence_required"/>
    <x:tableColumn id="12" name="source_url"/>
    <x:tableColumn id="13" name="verified_date"/>
    <x:tableColumn id="14" name="version"/>
  </x:tableColumns>
  <x:tableStyleInfo name="TableStyleMedium7" showFirstColumn="0" showLastColumn="0" showRowStripes="1" showColumnStripes="0"/>
</x:table>
</file>

<file path=xl/tables/table5.xml><?xml version="1.0" encoding="utf-8"?>
<x:table xmlns:x="http://schemas.openxmlformats.org/spreadsheetml/2006/main" id="5" name="SourceNotesTable" displayName="SourceNotesTable" ref="A3:F9" headerRowCount="1" totalsRowCount="0" totalsRowShown="0">
  <x:autoFilter ref="A3:F9"/>
  <x:tableColumns count="6">
    <x:tableColumn id="1" name="source_id"/>
    <x:tableColumn id="2" name="authority_or_file"/>
    <x:tableColumn id="3" name="scope"/>
    <x:tableColumn id="4" name="url_or_path"/>
    <x:tableColumn id="5" name="verified_date"/>
    <x:tableColumn id="6" name="usage_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83a4c04ca643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ccd97db9514a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cec89918824c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5208cc10fb41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7a59e792d248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2" hidden="0" customWidth="1"/>
    <x:col min="4" max="4" width="25" hidden="0" customWidth="1"/>
    <x:col min="5" max="5" width="31" hidden="0" customWidth="1"/>
    <x:col min="6" max="6" width="42" hidden="0" customWidth="1"/>
    <x:col min="7" max="7" width="38" hidden="0" customWidth="1"/>
    <x:col min="8" max="8" width="44" hidden="0" customWidth="1"/>
    <x:col min="9" max="9" width="58" hidden="0" customWidth="1"/>
    <x:col min="10" max="10" width="42" hidden="0" customWidth="1"/>
    <x:col min="11" max="11" width="48" hidden="0" customWidth="1"/>
    <x:col min="12" max="12" width="10" hidden="0" customWidth="1"/>
  </x:cols>
  <x:sheetData>
    <x:row r="1" ht="30" customHeight="1">
      <x:c r="A1" s="3" t="str">
        <x:v>Mirevane Botanics｜英西双语术语库 v1.0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preferred_es面向墨西哥西班牙语；allowed_variants可用竖线分隔，avoid_terms不得作为正式输出。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4" customHeight="1">
      <x:c r="A3" s="12" t="str">
        <x:v>term_id</x:v>
      </x:c>
      <x:c r="B3" s="12" t="str">
        <x:v>category</x:v>
      </x:c>
      <x:c r="C3" s="12" t="str">
        <x:v>concept_zh</x:v>
      </x:c>
      <x:c r="D3" s="12" t="str">
        <x:v>preferred_en</x:v>
      </x:c>
      <x:c r="E3" s="12" t="str">
        <x:v>preferred_es</x:v>
      </x:c>
      <x:c r="F3" s="12" t="str">
        <x:v>allowed_variants</x:v>
      </x:c>
      <x:c r="G3" s="12" t="str">
        <x:v>avoid_terms</x:v>
      </x:c>
      <x:c r="H3" s="12" t="str">
        <x:v>reason</x:v>
      </x:c>
      <x:c r="I3" s="12" t="str">
        <x:v>example</x:v>
      </x:c>
      <x:c r="J3" s="12" t="str">
        <x:v>market_notes</x:v>
      </x:c>
      <x:c r="K3" s="12" t="str">
        <x:v>source_basis</x:v>
      </x:c>
      <x:c r="L3" s="12" t="str">
        <x:v>version</x:v>
      </x:c>
    </x:row>
    <x:row r="4" ht="64" customHeight="1">
      <x:c r="A4" s="20" t="str">
        <x:v>TERM-001</x:v>
      </x:c>
      <x:c r="B4" s="20" t="str">
        <x:v>product_type</x:v>
      </x:c>
      <x:c r="C4" s="20" t="str">
        <x:v>面部洁面乳</x:v>
      </x:c>
      <x:c r="D4" s="20" t="str">
        <x:v>facial cleanser</x:v>
      </x:c>
      <x:c r="E4" s="20" t="str">
        <x:v>limpiador facial</x:v>
      </x:c>
      <x:c r="F4" s="20" t="str">
        <x:v>gentle facial cleanser | face cleanser | limpiador suave para el rostro</x:v>
      </x:c>
      <x:c r="G4" s="20" t="str">
        <x:v>detox cleanser | limpiador detox</x:v>
      </x:c>
      <x:c r="H4" s="20" t="str">
        <x:v>使用消费者易懂的标准品类名称。</x:v>
      </x:c>
      <x:c r="I4" s="20" t="str">
        <x:v>EN: A gentle facial cleanser for daily use. | ES-MX: Un limpiador facial suave para uso diario.</x:v>
      </x:c>
      <x:c r="J4" s="20" t="str">
        <x:v>英语与墨西哥西语均避免把普通洁面写成治疗产品。</x:v>
      </x:c>
      <x:c r="K4" s="20" t="str">
        <x:v>data/products/product_facts.json</x:v>
      </x:c>
      <x:c r="L4" s="20" t="str">
        <x:v>1.0</x:v>
      </x:c>
    </x:row>
    <x:row r="5" ht="64" customHeight="1">
      <x:c r="A5" s="21" t="str">
        <x:v>TERM-002</x:v>
      </x:c>
      <x:c r="B5" s="21" t="str">
        <x:v>product_type</x:v>
      </x:c>
      <x:c r="C5" s="21" t="str">
        <x:v>保湿精华</x:v>
      </x:c>
      <x:c r="D5" s="21" t="str">
        <x:v>hydrating serum</x:v>
      </x:c>
      <x:c r="E5" s="21" t="str">
        <x:v>sérum hidratante</x:v>
      </x:c>
      <x:c r="F5" s="21" t="str">
        <x:v>hydration serum | suero facial hidratante</x:v>
      </x:c>
      <x:c r="G5" s="21" t="str">
        <x:v>medical serum | suero médico | serum（正式首选词中缺重音）</x:v>
      </x:c>
      <x:c r="H5" s="21" t="str">
        <x:v>RAE已收录sérum；suero可作清晰变体，正式文案首选sérum hidratante。</x:v>
      </x:c>
      <x:c r="I5" s="21" t="str">
        <x:v>EN: Apply the hydrating serum after cleansing. | ES-MX: Aplica el sérum hidratante después de limpiar el rostro.</x:v>
      </x:c>
      <x:c r="J5" s="21" t="str">
        <x:v>墨西哥市场使用自然消费品表达，不把sérum写成医疗制剂。</x:v>
      </x:c>
      <x:c r="K5" s="21" t="str">
        <x:v>https://dle.rae.es/docs/Novedades_DLE_23.8-Seleccion.pdf; data/products/product_facts.json</x:v>
      </x:c>
      <x:c r="L5" s="21" t="str">
        <x:v>1.0</x:v>
      </x:c>
    </x:row>
    <x:row r="6" ht="64" customHeight="1">
      <x:c r="A6" s="21" t="str">
        <x:v>TERM-003</x:v>
      </x:c>
      <x:c r="B6" s="21" t="str">
        <x:v>product_type</x:v>
      </x:c>
      <x:c r="C6" s="21" t="str">
        <x:v>无香面霜</x:v>
      </x:c>
      <x:c r="D6" s="21" t="str">
        <x:v>fragrance-free facial moisturizer</x:v>
      </x:c>
      <x:c r="E6" s="21" t="str">
        <x:v>crema hidratante facial sin fragancia añadida</x:v>
      </x:c>
      <x:c r="F6" s="21" t="str">
        <x:v>fragrance-free face cream | crema facial sin fragancia añadida</x:v>
      </x:c>
      <x:c r="G6" s="21" t="str">
        <x:v>allergy-free cream | crema libre de alergias</x:v>
      </x:c>
      <x:c r="H6" s="21" t="str">
        <x:v>将无添加香精与不过敏明确区分。</x:v>
      </x:c>
      <x:c r="I6" s="21" t="str">
        <x:v>EN: A fragrance-free facial moisturizer. | ES-MX: Una crema hidratante facial sin fragancia añadida.</x:v>
      </x:c>
      <x:c r="J6" s="21" t="str">
        <x:v>两种语言均保留无添加香精这一事实边界。</x:v>
      </x:c>
      <x:c r="K6" s="21" t="str">
        <x:v>data/products/product_facts.json</x:v>
      </x:c>
      <x:c r="L6" s="21" t="str">
        <x:v>1.0</x:v>
      </x:c>
    </x:row>
    <x:row r="7" ht="64" customHeight="1">
      <x:c r="A7" s="21" t="str">
        <x:v>TERM-004</x:v>
      </x:c>
      <x:c r="B7" s="21" t="str">
        <x:v>product_type</x:v>
      </x:c>
      <x:c r="C7" s="21" t="str">
        <x:v>护手霜</x:v>
      </x:c>
      <x:c r="D7" s="21" t="str">
        <x:v>hand cream</x:v>
      </x:c>
      <x:c r="E7" s="21" t="str">
        <x:v>crema para manos</x:v>
      </x:c>
      <x:c r="F7" s="21" t="str">
        <x:v>moisturizing hand cream | crema hidratante para manos</x:v>
      </x:c>
      <x:c r="G7" s="21" t="str">
        <x:v>healing hand treatment | tratamiento curativo para manos</x:v>
      </x:c>
      <x:c r="H7" s="21" t="str">
        <x:v>使用日常个护品类词，不使用治疗性品类命名。</x:v>
      </x:c>
      <x:c r="I7" s="21" t="str">
        <x:v>EN: Keep the hand cream within reach. | ES-MX: Ten la crema para manos siempre a la mano.</x:v>
      </x:c>
      <x:c r="J7" s="21" t="str">
        <x:v>西语避免生硬直译crema de mano。</x:v>
      </x:c>
      <x:c r="K7" s="21" t="str">
        <x:v>data/products/product_facts.json</x:v>
      </x:c>
      <x:c r="L7" s="21" t="str">
        <x:v>1.0</x:v>
      </x:c>
    </x:row>
    <x:row r="8" ht="64" customHeight="1">
      <x:c r="A8" s="21" t="str">
        <x:v>TERM-005</x:v>
      </x:c>
      <x:c r="B8" s="21" t="str">
        <x:v>product_type</x:v>
      </x:c>
      <x:c r="C8" s="21" t="str">
        <x:v>旅行护肤套装</x:v>
      </x:c>
      <x:c r="D8" s="21" t="str">
        <x:v>travel skincare set</x:v>
      </x:c>
      <x:c r="E8" s="21" t="str">
        <x:v>set básico de cuidado facial para viaje</x:v>
      </x:c>
      <x:c r="F8" s="21" t="str">
        <x:v>travel-size skincare set | kit básico para viaje</x:v>
      </x:c>
      <x:c r="G8" s="21" t="str">
        <x:v>TSA-approved kit | kit aprobado para viajar</x:v>
      </x:c>
      <x:c r="H8" s="21" t="str">
        <x:v>强调便携组合，不暗示航空或监管认证。</x:v>
      </x:c>
      <x:c r="I8" s="21" t="str">
        <x:v>EN: A travel skincare set with three mini products. | ES-MX: Un set básico para viaje con tres productos en tamaño mini.</x:v>
      </x:c>
      <x:c r="J8" s="21" t="str">
        <x:v>kit可作变体；正式首选set以保持自然清晰。</x:v>
      </x:c>
      <x:c r="K8" s="21" t="str">
        <x:v>data/products/product_facts.json</x:v>
      </x:c>
      <x:c r="L8" s="21" t="str">
        <x:v>1.0</x:v>
      </x:c>
    </x:row>
    <x:row r="9" ht="64" customHeight="1">
      <x:c r="A9" s="21" t="str">
        <x:v>TERM-006</x:v>
      </x:c>
      <x:c r="B9" s="21" t="str">
        <x:v>product_type</x:v>
      </x:c>
      <x:c r="C9" s="21" t="str">
        <x:v>护肤步骤</x:v>
      </x:c>
      <x:c r="D9" s="21" t="str">
        <x:v>skincare routine</x:v>
      </x:c>
      <x:c r="E9" s="21" t="str">
        <x:v>rutina de cuidado de la piel</x:v>
      </x:c>
      <x:c r="F9" s="21" t="str">
        <x:v>daily skincare routine | rutina facial</x:v>
      </x:c>
      <x:c r="G9" s="21" t="str">
        <x:v>skin transformation system | sistema de transformación de la piel</x:v>
      </x:c>
      <x:c r="H9" s="21" t="str">
        <x:v>routine/rutina符合品牌日常护理定位。</x:v>
      </x:c>
      <x:c r="I9" s="21" t="str">
        <x:v>EN: Keep your skincare routine simple. | ES-MX: Mantén sencilla tu rutina de cuidado de la piel.</x:v>
      </x:c>
      <x:c r="J9" s="21" t="str">
        <x:v>不将基础组合描述成医疗系统。</x:v>
      </x:c>
      <x:c r="K9" s="21" t="str">
        <x:v>data/brand/brand_voice_guide.md</x:v>
      </x:c>
      <x:c r="L9" s="21" t="str">
        <x:v>1.0</x:v>
      </x:c>
    </x:row>
    <x:row r="10" ht="64" customHeight="1">
      <x:c r="A10" s="21" t="str">
        <x:v>TERM-007</x:v>
      </x:c>
      <x:c r="B10" s="21" t="str">
        <x:v>product_type</x:v>
      </x:c>
      <x:c r="C10" s="21" t="str">
        <x:v>保湿霜</x:v>
      </x:c>
      <x:c r="D10" s="21" t="str">
        <x:v>moisturizer</x:v>
      </x:c>
      <x:c r="E10" s="21" t="str">
        <x:v>crema hidratante</x:v>
      </x:c>
      <x:c r="F10" s="21" t="str">
        <x:v>facial moisturizer | face cream | hidratante facial</x:v>
      </x:c>
      <x:c r="G10" s="21" t="str">
        <x:v>moisturizing treatment | tratamiento hidratante clínico</x:v>
      </x:c>
      <x:c r="H10" s="21" t="str">
        <x:v>英语首选常用消费者词moisturizer；西语明确为crema hidratante。</x:v>
      </x:c>
      <x:c r="I10" s="21" t="str">
        <x:v>EN: Follow with moisturizer. | ES-MX: Continúa con tu crema hidratante.</x:v>
      </x:c>
      <x:c r="J10" s="21" t="str">
        <x:v>按上下文补充facial/para el rostro。</x:v>
      </x:c>
      <x:c r="K10" s="21" t="str">
        <x:v>data/brand/brand_voice_guide.md</x:v>
      </x:c>
      <x:c r="L10" s="21" t="str">
        <x:v>1.0</x:v>
      </x:c>
    </x:row>
    <x:row r="11" ht="64" customHeight="1">
      <x:c r="A11" s="21" t="str">
        <x:v>TERM-008</x:v>
      </x:c>
      <x:c r="B11" s="21" t="str">
        <x:v>benefit</x:v>
      </x:c>
      <x:c r="C11" s="21" t="str">
        <x:v>无添加香精</x:v>
      </x:c>
      <x:c r="D11" s="21" t="str">
        <x:v>fragrance-free</x:v>
      </x:c>
      <x:c r="E11" s="21" t="str">
        <x:v>sin fragancia añadida</x:v>
      </x:c>
      <x:c r="F11" s="21" t="str">
        <x:v>made without added fragrance | sin perfume añadido</x:v>
      </x:c>
      <x:c r="G11" s="21" t="str">
        <x:v>allergy-free | libre de alergias | zero allergens</x:v>
      </x:c>
      <x:c r="H11" s="21" t="str">
        <x:v>只表达未添加香精，不推导无过敏风险。</x:v>
      </x:c>
      <x:c r="I11" s="21" t="str">
        <x:v>EN: Made without added fragrance. | ES-MX: Sin fragancia añadida.</x:v>
      </x:c>
      <x:c r="J11" s="21" t="str">
        <x:v>墨西哥西语首选fragancia；perfume仅作清晰变体。</x:v>
      </x:c>
      <x:c r="K11" s="21" t="str">
        <x:v>data/products/product_facts.json</x:v>
      </x:c>
      <x:c r="L11" s="21" t="str">
        <x:v>1.0</x:v>
      </x:c>
    </x:row>
    <x:row r="12" ht="64" customHeight="1">
      <x:c r="A12" s="21" t="str">
        <x:v>TERM-009</x:v>
      </x:c>
      <x:c r="B12" s="21" t="str">
        <x:v>benefit</x:v>
      </x:c>
      <x:c r="C12" s="21" t="str">
        <x:v>温和</x:v>
      </x:c>
      <x:c r="D12" s="21" t="str">
        <x:v>gentle</x:v>
      </x:c>
      <x:c r="E12" s="21" t="str">
        <x:v>suave</x:v>
      </x:c>
      <x:c r="F12" s="21" t="str">
        <x:v>mild | gentle-feeling | de sensación suave</x:v>
      </x:c>
      <x:c r="G12" s="21" t="str">
        <x:v>zero irritation | cero irritación</x:v>
      </x:c>
      <x:c r="H12" s="21" t="str">
        <x:v>温和是品牌表达，不等于零刺激或适合所有人。</x:v>
      </x:c>
      <x:c r="I12" s="21" t="str">
        <x:v>EN: A gentle step for daily cleansing. | ES-MX: Un paso suave para la limpieza diaria.</x:v>
      </x:c>
      <x:c r="J12" s="21" t="str">
        <x:v>需要与具体事实或使用体验搭配。</x:v>
      </x:c>
      <x:c r="K12" s="21" t="str">
        <x:v>data/brand/brand_voice_guide.md</x:v>
      </x:c>
      <x:c r="L12" s="21" t="str">
        <x:v>1.0</x:v>
      </x:c>
    </x:row>
    <x:row r="13" ht="64" customHeight="1">
      <x:c r="A13" s="21" t="str">
        <x:v>TERM-010</x:v>
      </x:c>
      <x:c r="B13" s="21" t="str">
        <x:v>benefit</x:v>
      </x:c>
      <x:c r="C13" s="21" t="str">
        <x:v>保湿的</x:v>
      </x:c>
      <x:c r="D13" s="21" t="str">
        <x:v>hydrating</x:v>
      </x:c>
      <x:c r="E13" s="21" t="str">
        <x:v>hidratante</x:v>
      </x:c>
      <x:c r="F13" s="21" t="str">
        <x:v>moisturizing | de hidratación</x:v>
      </x:c>
      <x:c r="G13" s="21" t="str">
        <x:v>72-hour hydration | hidratación por 72 horas</x:v>
      </x:c>
      <x:c r="H13" s="21" t="str">
        <x:v>使用基础保湿词，不添加未经测试的持续时间。</x:v>
      </x:c>
      <x:c r="I13" s="21" t="str">
        <x:v>EN: A lightweight hydrating step. | ES-MX: Un paso hidratante de textura ligera.</x:v>
      </x:c>
      <x:c r="J13" s="21" t="str">
        <x:v>英文hydrating与moisturizing按品类调整。</x:v>
      </x:c>
      <x:c r="K13" s="21" t="str">
        <x:v>data/products/product_facts.json</x:v>
      </x:c>
      <x:c r="L13" s="21" t="str">
        <x:v>1.0</x:v>
      </x:c>
    </x:row>
    <x:row r="14" ht="64" customHeight="1">
      <x:c r="A14" s="21" t="str">
        <x:v>TERM-011</x:v>
      </x:c>
      <x:c r="B14" s="21" t="str">
        <x:v>benefit</x:v>
      </x:c>
      <x:c r="C14" s="21" t="str">
        <x:v>帮助肌肤感觉水润</x:v>
      </x:c>
      <x:c r="D14" s="21" t="str">
        <x:v>helps skin feel hydrated</x:v>
      </x:c>
      <x:c r="E14" s="21" t="str">
        <x:v>ayuda a que la piel se sienta hidratada</x:v>
      </x:c>
      <x:c r="F14" s="21" t="str">
        <x:v>helps leave skin feeling hydrated | ayuda a dejar la piel con sensación de hidratación</x:v>
      </x:c>
      <x:c r="G14" s="21" t="str">
        <x:v>deeply hydrates for days | hidrata profundamente durante días</x:v>
      </x:c>
      <x:c r="H14" s="21" t="str">
        <x:v>感受型表达符合B级谨慎功效边界。</x:v>
      </x:c>
      <x:c r="I14" s="21" t="str">
        <x:v>EN: Helps skin feel hydrated. | ES-MX: Ayuda a que la piel se sienta hidratada.</x:v>
      </x:c>
      <x:c r="J14" s="21" t="str">
        <x:v>不得删除helps/ayuda a等限定词。</x:v>
      </x:c>
      <x:c r="K14" s="21" t="str">
        <x:v>data/products/product_facts.json</x:v>
      </x:c>
      <x:c r="L14" s="21" t="str">
        <x:v>1.0</x:v>
      </x:c>
    </x:row>
    <x:row r="15" ht="64" customHeight="1">
      <x:c r="A15" s="21" t="str">
        <x:v>TERM-012</x:v>
      </x:c>
      <x:c r="B15" s="21" t="str">
        <x:v>benefit</x:v>
      </x:c>
      <x:c r="C15" s="21" t="str">
        <x:v>帮助肌肤感觉柔软</x:v>
      </x:c>
      <x:c r="D15" s="21" t="str">
        <x:v>helps skin feel soft</x:v>
      </x:c>
      <x:c r="E15" s="21" t="str">
        <x:v>ayuda a que la piel se sienta suave</x:v>
      </x:c>
      <x:c r="F15" s="21" t="str">
        <x:v>leaves skin feeling soft | deja la piel con sensación de suavidad</x:v>
      </x:c>
      <x:c r="G15" s="21" t="str">
        <x:v>restores skin structure | restaura la estructura de la piel</x:v>
      </x:c>
      <x:c r="H15" s="21" t="str">
        <x:v>描述使用感受，不宣称改变皮肤结构。</x:v>
      </x:c>
      <x:c r="I15" s="21" t="str">
        <x:v>EN: Helps skin feel soft and comfortable. | ES-MX: Ayuda a que la piel se sienta suave y cómoda.</x:v>
      </x:c>
      <x:c r="J15" s="21" t="str">
        <x:v>英语和西语保持同等谨慎程度。</x:v>
      </x:c>
      <x:c r="K15" s="21" t="str">
        <x:v>data/products/product_facts.json</x:v>
      </x:c>
      <x:c r="L15" s="21" t="str">
        <x:v>1.0</x:v>
      </x:c>
    </x:row>
    <x:row r="16" ht="64" customHeight="1">
      <x:c r="A16" s="21" t="str">
        <x:v>TERM-013</x:v>
      </x:c>
      <x:c r="B16" s="21" t="str">
        <x:v>benefit</x:v>
      </x:c>
      <x:c r="C16" s="21" t="str">
        <x:v>帮助洗去表面污垢和多余油脂</x:v>
      </x:c>
      <x:c r="D16" s="21" t="str">
        <x:v>helps remove surface dirt and excess oil</x:v>
      </x:c>
      <x:c r="E16" s="21" t="str">
        <x:v>ayuda a retirar la suciedad superficial y el exceso de grasa</x:v>
      </x:c>
      <x:c r="F16" s="21" t="str">
        <x:v>cleans away surface dirt and excess oil | ayuda a eliminar la suciedad superficial</x:v>
      </x:c>
      <x:c r="G16" s="21" t="str">
        <x:v>deep pore detox | desintoxicación profunda de los poros</x:v>
      </x:c>
      <x:c r="H16" s="21" t="str">
        <x:v>限定为表面清洁，不升级为排毒或永久控油。</x:v>
      </x:c>
      <x:c r="I16" s="21" t="str">
        <x:v>EN: Helps remove surface dirt and excess oil. | ES-MX: Ayuda a retirar la suciedad superficial y el exceso de grasa.</x:v>
      </x:c>
      <x:c r="J16" s="21" t="str">
        <x:v>西语grasa比aceite更适合此处皮肤油脂语境。</x:v>
      </x:c>
      <x:c r="K16" s="21" t="str">
        <x:v>data/products/product_facts.json</x:v>
      </x:c>
      <x:c r="L16" s="21" t="str">
        <x:v>1.0</x:v>
      </x:c>
    </x:row>
    <x:row r="17" ht="64" customHeight="1">
      <x:c r="A17" s="21" t="str">
        <x:v>TERM-014</x:v>
      </x:c>
      <x:c r="B17" s="21" t="str">
        <x:v>benefit</x:v>
      </x:c>
      <x:c r="C17" s="21" t="str">
        <x:v>轻盈质地</x:v>
      </x:c>
      <x:c r="D17" s="21" t="str">
        <x:v>lightweight texture</x:v>
      </x:c>
      <x:c r="E17" s="21" t="str">
        <x:v>textura ligera</x:v>
      </x:c>
      <x:c r="F17" s="21" t="str">
        <x:v>light texture | textura liviana</x:v>
      </x:c>
      <x:c r="G17" s="21" t="str">
        <x:v>weightless miracle texture | textura milagrosamente imperceptible</x:v>
      </x:c>
      <x:c r="H17" s="21" t="str">
        <x:v>简洁描述质地，不加入夸张结果。</x:v>
      </x:c>
      <x:c r="I17" s="21" t="str">
        <x:v>EN: A lightweight gel texture. | ES-MX: Una textura ligera en gel.</x:v>
      </x:c>
      <x:c r="J17" s="21" t="str">
        <x:v>墨西哥西语首选ligera。</x:v>
      </x:c>
      <x:c r="K17" s="21" t="str">
        <x:v>data/products/product_facts.json</x:v>
      </x:c>
      <x:c r="L17" s="21" t="str">
        <x:v>1.0</x:v>
      </x:c>
    </x:row>
    <x:row r="18" ht="64" customHeight="1">
      <x:c r="A18" s="21" t="str">
        <x:v>TERM-015</x:v>
      </x:c>
      <x:c r="B18" s="21" t="str">
        <x:v>benefit</x:v>
      </x:c>
      <x:c r="C18" s="21" t="str">
        <x:v>舒适肤感</x:v>
      </x:c>
      <x:c r="D18" s="21" t="str">
        <x:v>comfortable skin feel</x:v>
      </x:c>
      <x:c r="E18" s="21" t="str">
        <x:v>sensación cómoda en la piel</x:v>
      </x:c>
      <x:c r="F18" s="21" t="str">
        <x:v>skin feels comfortable | sensación de confort</x:v>
      </x:c>
      <x:c r="G18" s="21" t="str">
        <x:v>zero discomfort | cero molestias</x:v>
      </x:c>
      <x:c r="H18" s="21" t="str">
        <x:v>描述主观肤感，不承诺零刺激。</x:v>
      </x:c>
      <x:c r="I18" s="21" t="str">
        <x:v>EN: Leaves skin feeling comfortable. | ES-MX: Deja una sensación cómoda en la piel.</x:v>
      </x:c>
      <x:c r="J18" s="21" t="str">
        <x:v>不得等同于敏感肌验证。</x:v>
      </x:c>
      <x:c r="K18" s="21" t="str">
        <x:v>data/products/product_facts.json</x:v>
      </x:c>
      <x:c r="L18" s="21" t="str">
        <x:v>1.0</x:v>
      </x:c>
    </x:row>
    <x:row r="19" ht="64" customHeight="1">
      <x:c r="A19" s="21" t="str">
        <x:v>TERM-016</x:v>
      </x:c>
      <x:c r="B19" s="21" t="str">
        <x:v>benefit</x:v>
      </x:c>
      <x:c r="C19" s="21" t="str">
        <x:v>日常护理</x:v>
      </x:c>
      <x:c r="D19" s="21" t="str">
        <x:v>daily care</x:v>
      </x:c>
      <x:c r="E19" s="21" t="str">
        <x:v>cuidado diario</x:v>
      </x:c>
      <x:c r="F19" s="21" t="str">
        <x:v>everyday care | cuidado cotidiano</x:v>
      </x:c>
      <x:c r="G19" s="21" t="str">
        <x:v>permanent treatment | tratamiento permanente</x:v>
      </x:c>
      <x:c r="H19" s="21" t="str">
        <x:v>符合基础护肤的日常定位。</x:v>
      </x:c>
      <x:c r="I19" s="21" t="str">
        <x:v>EN: Designed for daily care. | ES-MX: Diseñado para el cuidado diario.</x:v>
      </x:c>
      <x:c r="J19" s="21" t="str">
        <x:v>避免将care/cuidado翻译成治疗。</x:v>
      </x:c>
      <x:c r="K19" s="21" t="str">
        <x:v>data/brand/brand_voice_guide.md</x:v>
      </x:c>
      <x:c r="L19" s="21" t="str">
        <x:v>1.0</x:v>
      </x:c>
    </x:row>
    <x:row r="20" ht="64" customHeight="1">
      <x:c r="A20" s="21" t="str">
        <x:v>TERM-017</x:v>
      </x:c>
      <x:c r="B20" s="21" t="str">
        <x:v>benefit</x:v>
      </x:c>
      <x:c r="C20" s="21" t="str">
        <x:v>简洁护肤步骤</x:v>
      </x:c>
      <x:c r="D20" s="21" t="str">
        <x:v>simple skincare routine</x:v>
      </x:c>
      <x:c r="E20" s="21" t="str">
        <x:v>rutina sencilla de cuidado de la piel</x:v>
      </x:c>
      <x:c r="F20" s="21" t="str">
        <x:v>simple routine | rutina facial sencilla</x:v>
      </x:c>
      <x:c r="G20" s="21" t="str">
        <x:v>complete skin solution | solución total para la piel</x:v>
      </x:c>
      <x:c r="H20" s="21" t="str">
        <x:v>强调步骤简洁，不声称解决所有问题。</x:v>
      </x:c>
      <x:c r="I20" s="21" t="str">
        <x:v>EN: Build a simple skincare routine. | ES-MX: Arma una rutina sencilla de cuidado de la piel.</x:v>
      </x:c>
      <x:c r="J20" s="21" t="str">
        <x:v>墨西哥CTA中可使用arma，语气友好但不高压。</x:v>
      </x:c>
      <x:c r="K20" s="21" t="str">
        <x:v>data/brand/brand_voice_guide.md</x:v>
      </x:c>
      <x:c r="L20" s="21" t="str">
        <x:v>1.0</x:v>
      </x:c>
    </x:row>
    <x:row r="21" ht="64" customHeight="1">
      <x:c r="A21" s="21" t="str">
        <x:v>TERM-018</x:v>
      </x:c>
      <x:c r="B21" s="21" t="str">
        <x:v>usage</x:v>
      </x:c>
      <x:c r="C21" s="21" t="str">
        <x:v>洁面后使用</x:v>
      </x:c>
      <x:c r="D21" s="21" t="str">
        <x:v>apply after cleansing</x:v>
      </x:c>
      <x:c r="E21" s="21" t="str">
        <x:v>aplícalo después de limpiar el rostro</x:v>
      </x:c>
      <x:c r="F21" s="21" t="str">
        <x:v>use after cleansing | úsalo después de la limpieza facial</x:v>
      </x:c>
      <x:c r="G21" s="21" t="str">
        <x:v>apply anytime for instant repair | aplícalo para reparación instantánea</x:v>
      </x:c>
      <x:c r="H21" s="21" t="str">
        <x:v>明确使用顺序，不加入即时修复承诺。</x:v>
      </x:c>
      <x:c r="I21" s="21" t="str">
        <x:v>EN: Apply after cleansing. | ES-MX: Aplícalo después de limpiar el rostro.</x:v>
      </x:c>
      <x:c r="J21" s="21" t="str">
        <x:v>西语用动词短语比名词堆叠更自然。</x:v>
      </x:c>
      <x:c r="K21" s="21" t="str">
        <x:v>data/products/product_facts.json</x:v>
      </x:c>
      <x:c r="L21" s="21" t="str">
        <x:v>1.0</x:v>
      </x:c>
    </x:row>
    <x:row r="22" ht="64" customHeight="1">
      <x:c r="A22" s="21" t="str">
        <x:v>TERM-019</x:v>
      </x:c>
      <x:c r="B22" s="21" t="str">
        <x:v>usage</x:v>
      </x:c>
      <x:c r="C22" s="21" t="str">
        <x:v>1—2泵</x:v>
      </x:c>
      <x:c r="D22" s="21" t="str">
        <x:v>1–2 pumps</x:v>
      </x:c>
      <x:c r="E22" s="21" t="str">
        <x:v>de 1 a 2 dosis</x:v>
      </x:c>
      <x:c r="F22" s="21" t="str">
        <x:v>one to two pumps | de una a dos aplicaciones</x:v>
      </x:c>
      <x:c r="G22" s="21" t="str">
        <x:v>1–2 bombas</x:v>
      </x:c>
      <x:c r="H22" s="21" t="str">
        <x:v>西语dosis在泵式护肤品用量中比直译bombas自然。</x:v>
      </x:c>
      <x:c r="I22" s="21" t="str">
        <x:v>EN: Apply 1–2 pumps. | ES-MX: Aplica de 1 a 2 dosis.</x:v>
      </x:c>
      <x:c r="J22" s="21" t="str">
        <x:v>数字必须来自对应SKU事实。</x:v>
      </x:c>
      <x:c r="K22" s="21" t="str">
        <x:v>data/products/product_facts.json</x:v>
      </x:c>
      <x:c r="L22" s="21" t="str">
        <x:v>1.0</x:v>
      </x:c>
    </x:row>
    <x:row r="23" ht="64" customHeight="1">
      <x:c r="A23" s="21" t="str">
        <x:v>TERM-020</x:v>
      </x:c>
      <x:c r="B23" s="21" t="str">
        <x:v>usage</x:v>
      </x:c>
      <x:c r="C23" s="21" t="str">
        <x:v>按需使用</x:v>
      </x:c>
      <x:c r="D23" s="21" t="str">
        <x:v>use as needed</x:v>
      </x:c>
      <x:c r="E23" s="21" t="str">
        <x:v>úsalo según sea necesario</x:v>
      </x:c>
      <x:c r="F23" s="21" t="str">
        <x:v>apply as needed | aplícalo cuando lo necesites</x:v>
      </x:c>
      <x:c r="G23" s="21" t="str">
        <x:v>unlimited use | uso ilimitado</x:v>
      </x:c>
      <x:c r="H23" s="21" t="str">
        <x:v>表达灵活使用，不承诺无限或无风险。</x:v>
      </x:c>
      <x:c r="I23" s="21" t="str">
        <x:v>EN: Reapply as needed. | ES-MX: Vuelve a aplicarla según sea necesario.</x:v>
      </x:c>
      <x:c r="J23" s="21" t="str">
        <x:v>代词需与产品名阴阳性保持一致。</x:v>
      </x:c>
      <x:c r="K23" s="21" t="str">
        <x:v>data/products/product_facts.json</x:v>
      </x:c>
      <x:c r="L23" s="21" t="str">
        <x:v>1.0</x:v>
      </x:c>
    </x:row>
    <x:row r="24" ht="64" customHeight="1">
      <x:c r="A24" s="21" t="str">
        <x:v>TERM-021</x:v>
      </x:c>
      <x:c r="B24" s="21" t="str">
        <x:v>usage</x:v>
      </x:c>
      <x:c r="C24" s="21" t="str">
        <x:v>避开眼周</x:v>
      </x:c>
      <x:c r="D24" s="21" t="str">
        <x:v>avoid the eye area</x:v>
      </x:c>
      <x:c r="E24" s="21" t="str">
        <x:v>evita el contorno de ojos</x:v>
      </x:c>
      <x:c r="F24" s="21" t="str">
        <x:v>keep away from eyes | evita el área de los ojos</x:v>
      </x:c>
      <x:c r="G24" s="21" t="str">
        <x:v>safe around eyes | seguro para los ojos</x:v>
      </x:c>
      <x:c r="H24" s="21" t="str">
        <x:v>保留必要注意事项。</x:v>
      </x:c>
      <x:c r="I24" s="21" t="str">
        <x:v>EN: Avoid the eye area. | ES-MX: Evita el contorno de ojos.</x:v>
      </x:c>
      <x:c r="J24" s="21" t="str">
        <x:v>不得为简洁而删除。</x:v>
      </x:c>
      <x:c r="K24" s="21" t="str">
        <x:v>data/products/product_facts.json</x:v>
      </x:c>
      <x:c r="L24" s="21" t="str">
        <x:v>1.0</x:v>
      </x:c>
    </x:row>
    <x:row r="25" ht="64" customHeight="1">
      <x:c r="A25" s="21" t="str">
        <x:v>TERM-022</x:v>
      </x:c>
      <x:c r="B25" s="21" t="str">
        <x:v>usage</x:v>
      </x:c>
      <x:c r="C25" s="21" t="str">
        <x:v>仅限外用</x:v>
      </x:c>
      <x:c r="D25" s="21" t="str">
        <x:v>for external use only</x:v>
      </x:c>
      <x:c r="E25" s="21" t="str">
        <x:v>solo para uso externo</x:v>
      </x:c>
      <x:c r="F25" s="21" t="str">
        <x:v>external use only | únicamente para uso externo</x:v>
      </x:c>
      <x:c r="G25" s="21" t="str">
        <x:v>safe to ingest | seguro para ingerir</x:v>
      </x:c>
      <x:c r="H25" s="21" t="str">
        <x:v>标准安全提示，应保持完整。</x:v>
      </x:c>
      <x:c r="I25" s="21" t="str">
        <x:v>EN: For external use only. | ES-MX: Solo para uso externo.</x:v>
      </x:c>
      <x:c r="J25" s="21" t="str">
        <x:v>不改写为含义模糊的警示。</x:v>
      </x:c>
      <x:c r="K25" s="21" t="str">
        <x:v>data/products/product_facts.json</x:v>
      </x:c>
      <x:c r="L25" s="21" t="str">
        <x:v>1.0</x:v>
      </x:c>
    </x:row>
    <x:row r="26" ht="64" customHeight="1">
      <x:c r="A26" s="21" t="str">
        <x:v>TERM-023</x:v>
      </x:c>
      <x:c r="B26" s="21" t="str">
        <x:v>packaging</x:v>
      </x:c>
      <x:c r="C26" s="21" t="str">
        <x:v>泵瓶</x:v>
      </x:c>
      <x:c r="D26" s="21" t="str">
        <x:v>pump bottle</x:v>
      </x:c>
      <x:c r="E26" s="21" t="str">
        <x:v>envase con bomba</x:v>
      </x:c>
      <x:c r="F26" s="21" t="str">
        <x:v>pump packaging | frasco con bomba</x:v>
      </x:c>
      <x:c r="G26" s="21" t="str">
        <x:v>spray bottle | atomizador</x:v>
      </x:c>
      <x:c r="H26" s="21" t="str">
        <x:v>准确描述按压泵包装。</x:v>
      </x:c>
      <x:c r="I26" s="21" t="str">
        <x:v>EN: Packaged in a pump bottle. | ES-MX: Presentado en un envase con bomba.</x:v>
      </x:c>
      <x:c r="J26" s="21" t="str">
        <x:v>bomba指包装结构，使用量仍首选dosis。</x:v>
      </x:c>
      <x:c r="K26" s="21" t="str">
        <x:v>data/products/product_facts.json</x:v>
      </x:c>
      <x:c r="L26" s="21" t="str">
        <x:v>1.0</x:v>
      </x:c>
    </x:row>
    <x:row r="27" ht="64" customHeight="1">
      <x:c r="A27" s="21" t="str">
        <x:v>TERM-024</x:v>
      </x:c>
      <x:c r="B27" s="21" t="str">
        <x:v>packaging</x:v>
      </x:c>
      <x:c r="C27" s="21" t="str">
        <x:v>不透明PP瓶</x:v>
      </x:c>
      <x:c r="D27" s="21" t="str">
        <x:v>opaque PP bottle</x:v>
      </x:c>
      <x:c r="E27" s="21" t="str">
        <x:v>envase opaco de PP</x:v>
      </x:c>
      <x:c r="F27" s="21" t="str">
        <x:v>opaque polypropylene bottle | envase opaco de polipropileno</x:v>
      </x:c>
      <x:c r="G27" s="21" t="str">
        <x:v>glass bottle | botella de vidrio</x:v>
      </x:c>
      <x:c r="H27" s="21" t="str">
        <x:v>保留材质和不透明特征。</x:v>
      </x:c>
      <x:c r="I27" s="21" t="str">
        <x:v>EN: An opaque PP bottle. | ES-MX: Un envase opaco de PP.</x:v>
      </x:c>
      <x:c r="J27" s="21" t="str">
        <x:v>首次面向普通消费者时可展开polipropileno。</x:v>
      </x:c>
      <x:c r="K27" s="21" t="str">
        <x:v>data/products/product_facts.json</x:v>
      </x:c>
      <x:c r="L27" s="21" t="str">
        <x:v>1.0</x:v>
      </x:c>
    </x:row>
    <x:row r="28" ht="64" customHeight="1">
      <x:c r="A28" s="21" t="str">
        <x:v>TERM-025</x:v>
      </x:c>
      <x:c r="B28" s="21" t="str">
        <x:v>packaging</x:v>
      </x:c>
      <x:c r="C28" s="21" t="str">
        <x:v>面霜罐</x:v>
      </x:c>
      <x:c r="D28" s="21" t="str">
        <x:v>cream jar</x:v>
      </x:c>
      <x:c r="E28" s="21" t="str">
        <x:v>tarro para crema</x:v>
      </x:c>
      <x:c r="F28" s="21" t="str">
        <x:v>jar | envase tipo tarro</x:v>
      </x:c>
      <x:c r="G28" s="21" t="str">
        <x:v>airless pump | bomba airless</x:v>
      </x:c>
      <x:c r="H28" s="21" t="str">
        <x:v>准确区分罐与泵瓶。</x:v>
      </x:c>
      <x:c r="I28" s="21" t="str">
        <x:v>EN: A 50 mL cream jar. | ES-MX: Un tarro para crema de 50 mL.</x:v>
      </x:c>
      <x:c r="J28" s="21" t="str">
        <x:v>容量必须与事实库一致。</x:v>
      </x:c>
      <x:c r="K28" s="21" t="str">
        <x:v>data/products/product_facts.json</x:v>
      </x:c>
      <x:c r="L28" s="21" t="str">
        <x:v>1.0</x:v>
      </x:c>
    </x:row>
    <x:row r="29" ht="64" customHeight="1">
      <x:c r="A29" s="21" t="str">
        <x:v>TERM-026</x:v>
      </x:c>
      <x:c r="B29" s="21" t="str">
        <x:v>packaging</x:v>
      </x:c>
      <x:c r="C29" s="21" t="str">
        <x:v>软管</x:v>
      </x:c>
      <x:c r="D29" s="21" t="str">
        <x:v>tube</x:v>
      </x:c>
      <x:c r="E29" s="21" t="str">
        <x:v>tubo</x:v>
      </x:c>
      <x:c r="F29" s="21" t="str">
        <x:v>squeeze tube | envase en tubo</x:v>
      </x:c>
      <x:c r="G29" s="21" t="str">
        <x:v>pump bottle | envase con bomba</x:v>
      </x:c>
      <x:c r="H29" s="21" t="str">
        <x:v>准确描述护手霜包装。</x:v>
      </x:c>
      <x:c r="I29" s="21" t="str">
        <x:v>EN: A 60 mL tube. | ES-MX: Un tubo de 60 mL.</x:v>
      </x:c>
      <x:c r="J29" s="21" t="str">
        <x:v>不自动添加便携认证。</x:v>
      </x:c>
      <x:c r="K29" s="21" t="str">
        <x:v>data/products/product_facts.json</x:v>
      </x:c>
      <x:c r="L29" s="21" t="str">
        <x:v>1.0</x:v>
      </x:c>
    </x:row>
    <x:row r="30" ht="64" customHeight="1">
      <x:c r="A30" s="21" t="str">
        <x:v>TERM-027</x:v>
      </x:c>
      <x:c r="B30" s="21" t="str">
        <x:v>packaging</x:v>
      </x:c>
      <x:c r="C30" s="21" t="str">
        <x:v>可回收性取决于当地设施</x:v>
      </x:c>
      <x:c r="D30" s="21" t="str">
        <x:v>recyclability depends on local facilities</x:v>
      </x:c>
      <x:c r="E30" s="21" t="str">
        <x:v>la posibilidad de reciclaje depende de las instalaciones locales</x:v>
      </x:c>
      <x:c r="F30" s="21" t="str">
        <x:v>may not be recyclable in your area | puede no ser reciclable en tu localidad</x:v>
      </x:c>
      <x:c r="G30" s="21" t="str">
        <x:v>100% recyclable | eco-friendly</x:v>
      </x:c>
      <x:c r="H30" s="21" t="str">
        <x:v>保留回收设施条件，避免宽泛环保宣称。</x:v>
      </x:c>
      <x:c r="I30" s="21" t="str">
        <x:v>EN: Recyclability depends on local facilities. | ES-MX: La posibilidad de reciclaje depende de las instalaciones locales.</x:v>
      </x:c>
      <x:c r="J30" s="21" t="str">
        <x:v>美国表达参考FTC Green Guides；墨西哥文案保留同等限定。</x:v>
      </x:c>
      <x:c r="K30" s="21" t="str">
        <x:v>https://www.ftc.gov/business-guidance/resources/environmental-claims-summary-green-guides</x:v>
      </x:c>
      <x:c r="L30" s="21" t="str">
        <x:v>1.0</x:v>
      </x:c>
    </x:row>
    <x:row r="31" ht="64" customHeight="1">
      <x:c r="A31" s="21" t="str">
        <x:v>TERM-028</x:v>
      </x:c>
      <x:c r="B31" s="21" t="str">
        <x:v>ingredient</x:v>
      </x:c>
      <x:c r="C31" s="21" t="str">
        <x:v>水</x:v>
      </x:c>
      <x:c r="D31" s="21" t="str">
        <x:v>water</x:v>
      </x:c>
      <x:c r="E31" s="21" t="str">
        <x:v>agua</x:v>
      </x:c>
      <x:c r="F31" s="21" t="str">
        <x:v>aqua (INCI) | agua purificada（仅有资料时）</x:v>
      </x:c>
      <x:c r="G31" s="21" t="str">
        <x:v>mineral water | agua mineral</x:v>
      </x:c>
      <x:c r="H31" s="21" t="str">
        <x:v>消费者文案用通用名称；正式成分表按适用INCI规则处理。</x:v>
      </x:c>
      <x:c r="I31" s="21" t="str">
        <x:v>EN: Made with water and glycerin. | ES-MX: Formulado con agua y glicerina.</x:v>
      </x:c>
      <x:c r="J31" s="21" t="str">
        <x:v>不得添加未记录的水源或纯度。</x:v>
      </x:c>
      <x:c r="K31" s="21" t="str">
        <x:v>data/products/product_facts.json</x:v>
      </x:c>
      <x:c r="L31" s="21" t="str">
        <x:v>1.0</x:v>
      </x:c>
    </x:row>
    <x:row r="32" ht="64" customHeight="1">
      <x:c r="A32" s="21" t="str">
        <x:v>TERM-029</x:v>
      </x:c>
      <x:c r="B32" s="21" t="str">
        <x:v>ingredient</x:v>
      </x:c>
      <x:c r="C32" s="21" t="str">
        <x:v>甘油</x:v>
      </x:c>
      <x:c r="D32" s="21" t="str">
        <x:v>glycerin</x:v>
      </x:c>
      <x:c r="E32" s="21" t="str">
        <x:v>glicerina</x:v>
      </x:c>
      <x:c r="F32" s="21" t="str">
        <x:v>glycerol | glycerine | glicerol</x:v>
      </x:c>
      <x:c r="G32" s="21" t="str">
        <x:v>vegetable glycerin（未验证来源） | glicerina vegetal（未验证来源）</x:v>
      </x:c>
      <x:c r="H32" s="21" t="str">
        <x:v>首选消费者熟悉名称，不推断植物来源。</x:v>
      </x:c>
      <x:c r="I32" s="21" t="str">
        <x:v>EN: Made with glycerin. | ES-MX: Formulado con glicerina.</x:v>
      </x:c>
      <x:c r="J32" s="21" t="str">
        <x:v>成分列表与营销文案可使用不同层级名称，但指向同一事实。</x:v>
      </x:c>
      <x:c r="K32" s="21" t="str">
        <x:v>data/products/product_facts.json</x:v>
      </x:c>
      <x:c r="L32" s="21" t="str">
        <x:v>1.0</x:v>
      </x:c>
    </x:row>
    <x:row r="33" ht="64" customHeight="1">
      <x:c r="A33" s="21" t="str">
        <x:v>TERM-030</x:v>
      </x:c>
      <x:c r="B33" s="21" t="str">
        <x:v>ingredient</x:v>
      </x:c>
      <x:c r="C33" s="21" t="str">
        <x:v>椰油酰甘氨酸钠</x:v>
      </x:c>
      <x:c r="D33" s="21" t="str">
        <x:v>Sodium Cocoyl Glycinate</x:v>
      </x:c>
      <x:c r="E33" s="21" t="str">
        <x:v>glicinato de cocoilo de sodio</x:v>
      </x:c>
      <x:c r="F33" s="21" t="str">
        <x:v>sodium cocoyl glycinate | tensioactivo de aminoácidos（解释性）</x:v>
      </x:c>
      <x:c r="G33" s="21" t="str">
        <x:v>soap-free amino acid miracle | aminoácido milagroso</x:v>
      </x:c>
      <x:c r="H33" s="21" t="str">
        <x:v>标准成分名优先；解释性类别不能替代成分表。</x:v>
      </x:c>
      <x:c r="I33" s="21" t="str">
        <x:v>EN: Contains Sodium Cocoyl Glycinate. | ES-MX: Contiene glicinato de cocoilo de sodio.</x:v>
      </x:c>
      <x:c r="J33" s="21" t="str">
        <x:v>INCI字段可保留英文标准名。</x:v>
      </x:c>
      <x:c r="K33" s="21" t="str">
        <x:v>data/products/product_facts.json</x:v>
      </x:c>
      <x:c r="L33" s="21" t="str">
        <x:v>1.0</x:v>
      </x:c>
    </x:row>
    <x:row r="34" ht="64" customHeight="1">
      <x:c r="A34" s="21" t="str">
        <x:v>TERM-031</x:v>
      </x:c>
      <x:c r="B34" s="21" t="str">
        <x:v>ingredient</x:v>
      </x:c>
      <x:c r="C34" s="21" t="str">
        <x:v>椰油酰胺丙基甜菜碱</x:v>
      </x:c>
      <x:c r="D34" s="21" t="str">
        <x:v>Cocamidopropyl Betaine</x:v>
      </x:c>
      <x:c r="E34" s="21" t="str">
        <x:v>betaína de cocamidopropilo</x:v>
      </x:c>
      <x:c r="F34" s="21" t="str">
        <x:v>cocamidopropyl betaine</x:v>
      </x:c>
      <x:c r="G34" s="21" t="str">
        <x:v>coconut cleanser（成分来源推断） | limpiador de coco</x:v>
      </x:c>
      <x:c r="H34" s="21" t="str">
        <x:v>使用标准成分名，不从名称推导产地或天然属性。</x:v>
      </x:c>
      <x:c r="I34" s="21" t="str">
        <x:v>EN: Contains Cocamidopropyl Betaine. | ES-MX: Contiene betaína de cocamidopropilo.</x:v>
      </x:c>
      <x:c r="J34" s="21" t="str">
        <x:v>消费者说明可简化，但成分事实不可改写。</x:v>
      </x:c>
      <x:c r="K34" s="21" t="str">
        <x:v>data/products/product_facts.json</x:v>
      </x:c>
      <x:c r="L34" s="21" t="str">
        <x:v>1.0</x:v>
      </x:c>
    </x:row>
    <x:row r="35" ht="64" customHeight="1">
      <x:c r="A35" s="21" t="str">
        <x:v>TERM-032</x:v>
      </x:c>
      <x:c r="B35" s="21" t="str">
        <x:v>ingredient</x:v>
      </x:c>
      <x:c r="C35" s="21" t="str">
        <x:v>泛醇</x:v>
      </x:c>
      <x:c r="D35" s="21" t="str">
        <x:v>panthenol</x:v>
      </x:c>
      <x:c r="E35" s="21" t="str">
        <x:v>pantenol</x:v>
      </x:c>
      <x:c r="F35" s="21" t="str">
        <x:v>pro-vitamin B5（仅解释用） | provitamina B5（仅解释用）</x:v>
      </x:c>
      <x:c r="G35" s="21" t="str">
        <x:v>healing vitamin | vitamina curativa</x:v>
      </x:c>
      <x:c r="H35" s="21" t="str">
        <x:v>首选标准通用名，维生素解释不得升级为治疗功效。</x:v>
      </x:c>
      <x:c r="I35" s="21" t="str">
        <x:v>EN: Made with panthenol. | ES-MX: Formulado con pantenol.</x:v>
      </x:c>
      <x:c r="J35" s="21" t="str">
        <x:v>不自动添加浓度或来源。</x:v>
      </x:c>
      <x:c r="K35" s="21" t="str">
        <x:v>data/products/product_facts.json</x:v>
      </x:c>
      <x:c r="L35" s="21" t="str">
        <x:v>1.0</x:v>
      </x:c>
    </x:row>
    <x:row r="36" ht="64" customHeight="1">
      <x:c r="A36" s="21" t="str">
        <x:v>TERM-033</x:v>
      </x:c>
      <x:c r="B36" s="21" t="str">
        <x:v>ingredient</x:v>
      </x:c>
      <x:c r="C36" s="21" t="str">
        <x:v>甜菜碱</x:v>
      </x:c>
      <x:c r="D36" s="21" t="str">
        <x:v>betaine</x:v>
      </x:c>
      <x:c r="E36" s="21" t="str">
        <x:v>betaína</x:v>
      </x:c>
      <x:c r="F36" s="21" t="str">
        <x:v>trimethylglycine（技术语境）</x:v>
      </x:c>
      <x:c r="G36" s="21" t="str">
        <x:v>beet extract | extracto de betabel</x:v>
      </x:c>
      <x:c r="H36" s="21" t="str">
        <x:v>不从成分名称推断植物提取物。</x:v>
      </x:c>
      <x:c r="I36" s="21" t="str">
        <x:v>EN: Contains betaine. | ES-MX: Contiene betaína.</x:v>
      </x:c>
      <x:c r="J36" s="21" t="str">
        <x:v>墨西哥西语使用betaína并保留重音。</x:v>
      </x:c>
      <x:c r="K36" s="21" t="str">
        <x:v>data/products/product_facts.json</x:v>
      </x:c>
      <x:c r="L36" s="21" t="str">
        <x:v>1.0</x:v>
      </x:c>
    </x:row>
    <x:row r="37" ht="64" customHeight="1">
      <x:c r="A37" s="21" t="str">
        <x:v>TERM-034</x:v>
      </x:c>
      <x:c r="B37" s="21" t="str">
        <x:v>ingredient</x:v>
      </x:c>
      <x:c r="C37" s="21" t="str">
        <x:v>尿囊素</x:v>
      </x:c>
      <x:c r="D37" s="21" t="str">
        <x:v>allantoin</x:v>
      </x:c>
      <x:c r="E37" s="21" t="str">
        <x:v>alantoína</x:v>
      </x:c>
      <x:c r="F37" s="21" t="str">
        <x:v>allantoin</x:v>
      </x:c>
      <x:c r="G37" s="21" t="str">
        <x:v>healing allantoin | alantoína cicatrizante</x:v>
      </x:c>
      <x:c r="H37" s="21" t="str">
        <x:v>使用标准成分名，不加入修复伤口功效。</x:v>
      </x:c>
      <x:c r="I37" s="21" t="str">
        <x:v>EN: Made with allantoin. | ES-MX: Formulado con alantoína.</x:v>
      </x:c>
      <x:c r="J37" s="21" t="str">
        <x:v>保留西语重音。</x:v>
      </x:c>
      <x:c r="K37" s="21" t="str">
        <x:v>data/products/product_facts.json</x:v>
      </x:c>
      <x:c r="L37" s="21" t="str">
        <x:v>1.0</x:v>
      </x:c>
    </x:row>
    <x:row r="38" ht="64" customHeight="1">
      <x:c r="A38" s="21" t="str">
        <x:v>TERM-035</x:v>
      </x:c>
      <x:c r="B38" s="21" t="str">
        <x:v>ingredient</x:v>
      </x:c>
      <x:c r="C38" s="21" t="str">
        <x:v>透明质酸钠</x:v>
      </x:c>
      <x:c r="D38" s="21" t="str">
        <x:v>sodium hyaluronate</x:v>
      </x:c>
      <x:c r="E38" s="21" t="str">
        <x:v>hialuronato de sodio</x:v>
      </x:c>
      <x:c r="F38" s="21" t="str">
        <x:v>sodium salt of hyaluronic acid | sal sódica del ácido hialurónico</x:v>
      </x:c>
      <x:c r="G38" s="21" t="str">
        <x:v>medical-grade hyaluronic acid | ácido hialurónico de grado médico</x:v>
      </x:c>
      <x:c r="H38" s="21" t="str">
        <x:v>区分透明质酸钠与未记录的医用级透明质酸。</x:v>
      </x:c>
      <x:c r="I38" s="21" t="str">
        <x:v>EN: Contains sodium hyaluronate. | ES-MX: Contiene hialuronato de sodio.</x:v>
      </x:c>
      <x:c r="J38" s="21" t="str">
        <x:v>不得自动写浓度或分子量。</x:v>
      </x:c>
      <x:c r="K38" s="21" t="str">
        <x:v>data/products/product_facts.json</x:v>
      </x:c>
      <x:c r="L38" s="21" t="str">
        <x:v>1.0</x:v>
      </x:c>
    </x:row>
    <x:row r="39" ht="64" customHeight="1">
      <x:c r="A39" s="21" t="str">
        <x:v>TERM-036</x:v>
      </x:c>
      <x:c r="B39" s="21" t="str">
        <x:v>ingredient</x:v>
      </x:c>
      <x:c r="C39" s="21" t="str">
        <x:v>角鲨烷</x:v>
      </x:c>
      <x:c r="D39" s="21" t="str">
        <x:v>squalane</x:v>
      </x:c>
      <x:c r="E39" s="21" t="str">
        <x:v>escualano</x:v>
      </x:c>
      <x:c r="F39" s="21" t="str">
        <x:v>squalane</x:v>
      </x:c>
      <x:c r="G39" s="21" t="str">
        <x:v>shark-derived squalane | escualano de tiburón</x:v>
      </x:c>
      <x:c r="H39" s="21" t="str">
        <x:v>不推断原料来源。</x:v>
      </x:c>
      <x:c r="I39" s="21" t="str">
        <x:v>EN: Made with squalane. | ES-MX: Formulado con escualano.</x:v>
      </x:c>
      <x:c r="J39" s="21" t="str">
        <x:v>与squalene/escualeno区分。</x:v>
      </x:c>
      <x:c r="K39" s="21" t="str">
        <x:v>data/products/product_facts.json</x:v>
      </x:c>
      <x:c r="L39" s="21" t="str">
        <x:v>1.0</x:v>
      </x:c>
    </x:row>
    <x:row r="40" ht="64" customHeight="1">
      <x:c r="A40" s="21" t="str">
        <x:v>TERM-037</x:v>
      </x:c>
      <x:c r="B40" s="21" t="str">
        <x:v>ingredient</x:v>
      </x:c>
      <x:c r="C40" s="21" t="str">
        <x:v>β-葡聚糖</x:v>
      </x:c>
      <x:c r="D40" s="21" t="str">
        <x:v>beta-glucan</x:v>
      </x:c>
      <x:c r="E40" s="21" t="str">
        <x:v>beta-glucano</x:v>
      </x:c>
      <x:c r="F40" s="21" t="str">
        <x:v>β-glucan | β-glucano</x:v>
      </x:c>
      <x:c r="G40" s="21" t="str">
        <x:v>immune-boosting beta-glucan | beta-glucano inmunoestimulante</x:v>
      </x:c>
      <x:c r="H40" s="21" t="str">
        <x:v>消费者文案使用可读形式，不添加免疫或治疗功效。</x:v>
      </x:c>
      <x:c r="I40" s="21" t="str">
        <x:v>EN: Contains beta-glucan. | ES-MX: Contiene beta-glucano.</x:v>
      </x:c>
      <x:c r="J40" s="21" t="str">
        <x:v>符号β可作允许变体。</x:v>
      </x:c>
      <x:c r="K40" s="21" t="str">
        <x:v>data/products/product_facts.json</x:v>
      </x:c>
      <x:c r="L40" s="21" t="str">
        <x:v>1.0</x:v>
      </x:c>
    </x:row>
    <x:row r="41" ht="64" customHeight="1">
      <x:c r="A41" s="21" t="str">
        <x:v>TERM-038</x:v>
      </x:c>
      <x:c r="B41" s="21" t="str">
        <x:v>ingredient</x:v>
      </x:c>
      <x:c r="C41" s="21" t="str">
        <x:v>乳木果脂</x:v>
      </x:c>
      <x:c r="D41" s="21" t="str">
        <x:v>shea butter</x:v>
      </x:c>
      <x:c r="E41" s="21" t="str">
        <x:v>manteca de karité</x:v>
      </x:c>
      <x:c r="F41" s="21" t="str">
        <x:v>shea butter | manteca de shea</x:v>
      </x:c>
      <x:c r="G41" s="21" t="str">
        <x:v>healing butter | manteca curativa</x:v>
      </x:c>
      <x:c r="H41" s="21" t="str">
        <x:v>西语首选manteca de karité。</x:v>
      </x:c>
      <x:c r="I41" s="21" t="str">
        <x:v>EN: Made with shea butter. | ES-MX: Formulado con manteca de karité.</x:v>
      </x:c>
      <x:c r="J41" s="21" t="str">
        <x:v>不推断有机、产地或公平贸易属性。</x:v>
      </x:c>
      <x:c r="K41" s="21" t="str">
        <x:v>data/products/product_facts.json</x:v>
      </x:c>
      <x:c r="L41" s="21" t="str">
        <x:v>1.0</x:v>
      </x:c>
    </x:row>
    <x:row r="42" ht="64" customHeight="1">
      <x:c r="A42" s="21" t="str">
        <x:v>TERM-039</x:v>
      </x:c>
      <x:c r="B42" s="21" t="str">
        <x:v>ingredient</x:v>
      </x:c>
      <x:c r="C42" s="21" t="str">
        <x:v>生育酚</x:v>
      </x:c>
      <x:c r="D42" s="21" t="str">
        <x:v>tocopherol</x:v>
      </x:c>
      <x:c r="E42" s="21" t="str">
        <x:v>tocoferol</x:v>
      </x:c>
      <x:c r="F42" s="21" t="str">
        <x:v>vitamin E（解释性） | vitamina E（解释性）</x:v>
      </x:c>
      <x:c r="G42" s="21" t="str">
        <x:v>anti-aging vitamin | vitamina antiedad</x:v>
      </x:c>
      <x:c r="H42" s="21" t="str">
        <x:v>标准成分名优先；维生素解释不等于抗衰功效。</x:v>
      </x:c>
      <x:c r="I42" s="21" t="str">
        <x:v>EN: Contains tocopherol. | ES-MX: Contiene tocoferol.</x:v>
      </x:c>
      <x:c r="J42" s="21" t="str">
        <x:v>不得自动写浓度或功效。</x:v>
      </x:c>
      <x:c r="K42" s="21" t="str">
        <x:v>data/products/product_facts.json</x:v>
      </x:c>
      <x:c r="L42" s="21" t="str">
        <x:v>1.0</x:v>
      </x:c>
    </x:row>
    <x:row r="43" ht="64" customHeight="1">
      <x:c r="A43" s="22" t="str">
        <x:v>TERM-040</x:v>
      </x:c>
      <x:c r="B43" s="22" t="str">
        <x:v>ingredient</x:v>
      </x:c>
      <x:c r="C43" s="22" t="str">
        <x:v>辛酸/癸酸甘油三酯</x:v>
      </x:c>
      <x:c r="D43" s="22" t="str">
        <x:v>caprylic/capric triglyceride</x:v>
      </x:c>
      <x:c r="E43" s="22" t="str">
        <x:v>triglicérido caprílico/cáprico</x:v>
      </x:c>
      <x:c r="F43" s="22" t="str">
        <x:v>Caprylic/Capric Triglyceride | triglicérido de ácido caprílico/cáprico</x:v>
      </x:c>
      <x:c r="G43" s="22" t="str">
        <x:v>coconut oil | aceite de coco</x:v>
      </x:c>
      <x:c r="H43" s="22" t="str">
        <x:v>保留标准成分概念，不推导为椰子油。</x:v>
      </x:c>
      <x:c r="I43" s="22" t="str">
        <x:v>EN: Contains caprylic/capric triglyceride. | ES-MX: Contiene triglicérido caprílico/cáprico.</x:v>
      </x:c>
      <x:c r="J43" s="22" t="str">
        <x:v>斜线两侧成分概念保持一致。</x:v>
      </x:c>
      <x:c r="K43" s="22" t="str">
        <x:v>data/products/product_facts.json</x:v>
      </x:c>
      <x:c r="L43" s="22" t="str">
        <x:v>1.0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083a4c04ca643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47" hidden="0" customWidth="1"/>
    <x:col min="4" max="4" width="40" hidden="0" customWidth="1"/>
    <x:col min="5" max="5" width="47" hidden="0" customWidth="1"/>
    <x:col min="6" max="6" width="42" hidden="0" customWidth="1"/>
  </x:cols>
  <x:sheetData>
    <x:row r="1" ht="30" customHeight="1">
      <x:c r="A1" s="3" t="str">
        <x:v>品牌语调模式｜英语与墨西哥西班牙语</x:v>
      </x:c>
      <x:c r="B1" s="3"/>
      <x:c r="C1" s="3"/>
      <x:c r="D1" s="3"/>
      <x:c r="E1" s="3"/>
      <x:c r="F1" s="3"/>
    </x:row>
    <x:row r="2" ht="38" customHeight="1">
      <x:c r="A2" s="7" t="str">
        <x:v>每行展示同一表达意图在两种语言中的推荐与禁用写法。</x:v>
      </x:c>
      <x:c r="B2" s="7"/>
      <x:c r="C2" s="7"/>
      <x:c r="D2" s="7"/>
      <x:c r="E2" s="7"/>
      <x:c r="F2" s="7"/>
    </x:row>
    <x:row r="3" ht="34" customHeight="1">
      <x:c r="A3" s="12" t="str">
        <x:v>intent</x:v>
      </x:c>
      <x:c r="B3" s="12" t="str">
        <x:v>preferred_en</x:v>
      </x:c>
      <x:c r="C3" s="12" t="str">
        <x:v>preferred_es</x:v>
      </x:c>
      <x:c r="D3" s="12" t="str">
        <x:v>avoid_en</x:v>
      </x:c>
      <x:c r="E3" s="12" t="str">
        <x:v>avoid_es</x:v>
      </x:c>
      <x:c r="F3" s="12" t="str">
        <x:v>reason</x:v>
      </x:c>
    </x:row>
    <x:row r="4" ht="64" customHeight="1">
      <x:c r="A4" s="20" t="str">
        <x:v>谨慎保湿</x:v>
      </x:c>
      <x:c r="B4" s="20" t="str">
        <x:v>Helps skin feel hydrated.</x:v>
      </x:c>
      <x:c r="C4" s="20" t="str">
        <x:v>Ayuda a que la piel se sienta hidratada.</x:v>
      </x:c>
      <x:c r="D4" s="20" t="str">
        <x:v>Deeply hydrates for 72 hours.</x:v>
      </x:c>
      <x:c r="E4" s="20" t="str">
        <x:v>Hidrata profundamente durante 72 horas.</x:v>
      </x:c>
      <x:c r="F4" s="20" t="str">
        <x:v>保留感受型限定。</x:v>
      </x:c>
    </x:row>
    <x:row r="5" ht="64" customHeight="1">
      <x:c r="A5" s="21" t="str">
        <x:v>谨慎柔软感</x:v>
      </x:c>
      <x:c r="B5" s="21" t="str">
        <x:v>Helps leave skin feeling soft.</x:v>
      </x:c>
      <x:c r="C5" s="21" t="str">
        <x:v>Ayuda a dejar la piel con sensación de suavidad.</x:v>
      </x:c>
      <x:c r="D5" s="21" t="str">
        <x:v>Repairs damaged skin.</x:v>
      </x:c>
      <x:c r="E5" s="21" t="str">
        <x:v>Repara la piel dañada.</x:v>
      </x:c>
      <x:c r="F5" s="21" t="str">
        <x:v>不升级为结构修复。</x:v>
      </x:c>
    </x:row>
    <x:row r="6" ht="64" customHeight="1">
      <x:c r="A6" s="21" t="str">
        <x:v>无添加香精</x:v>
      </x:c>
      <x:c r="B6" s="21" t="str">
        <x:v>Made without added fragrance.</x:v>
      </x:c>
      <x:c r="C6" s="21" t="str">
        <x:v>Sin fragancia añadida.</x:v>
      </x:c>
      <x:c r="D6" s="21" t="str">
        <x:v>Allergy-free.</x:v>
      </x:c>
      <x:c r="E6" s="21" t="str">
        <x:v>Libre de alergias.</x:v>
      </x:c>
      <x:c r="F6" s="21" t="str">
        <x:v>无香不等于无过敏风险。</x:v>
      </x:c>
    </x:row>
    <x:row r="7" ht="64" customHeight="1">
      <x:c r="A7" s="21" t="str">
        <x:v>基础清洁</x:v>
      </x:c>
      <x:c r="B7" s="21" t="str">
        <x:v>Helps remove surface dirt and excess oil.</x:v>
      </x:c>
      <x:c r="C7" s="21" t="str">
        <x:v>Ayuda a retirar la suciedad superficial y el exceso de grasa.</x:v>
      </x:c>
      <x:c r="D7" s="21" t="str">
        <x:v>Deep pore detox.</x:v>
      </x:c>
      <x:c r="E7" s="21" t="str">
        <x:v>Desintoxicación profunda de los poros.</x:v>
      </x:c>
      <x:c r="F7" s="21" t="str">
        <x:v>限定表面清洁。</x:v>
      </x:c>
    </x:row>
    <x:row r="8" ht="64" customHeight="1">
      <x:c r="A8" s="21" t="str">
        <x:v>使用步骤</x:v>
      </x:c>
      <x:c r="B8" s="21" t="str">
        <x:v>Apply after cleansing.</x:v>
      </x:c>
      <x:c r="C8" s="21" t="str">
        <x:v>Aplícalo después de limpiar el rostro.</x:v>
      </x:c>
      <x:c r="D8" s="21" t="str">
        <x:v>Use whenever your skin needs repair.</x:v>
      </x:c>
      <x:c r="E8" s="21" t="str">
        <x:v>Úsalo cuando tu piel necesite reparación.</x:v>
      </x:c>
      <x:c r="F8" s="21" t="str">
        <x:v>保持事实用法。</x:v>
      </x:c>
    </x:row>
    <x:row r="9" ht="64" customHeight="1">
      <x:c r="A9" s="21" t="str">
        <x:v>信息不足</x:v>
      </x:c>
      <x:c r="B9" s="21" t="str">
        <x:v>This information has not been verified.</x:v>
      </x:c>
      <x:c r="C9" s="21" t="str">
        <x:v>Esta información no ha sido verificada.</x:v>
      </x:c>
      <x:c r="D9" s="21" t="str">
        <x:v>Probably suitable for everyone.</x:v>
      </x:c>
      <x:c r="E9" s="21" t="str">
        <x:v>Probablemente es apto para todos.</x:v>
      </x:c>
      <x:c r="F9" s="21" t="str">
        <x:v>未知信息不自动补全。</x:v>
      </x:c>
    </x:row>
    <x:row r="10" ht="64" customHeight="1">
      <x:c r="A10" s="21" t="str">
        <x:v>回收限定</x:v>
      </x:c>
      <x:c r="B10" s="21" t="str">
        <x:v>Recyclability depends on local facilities.</x:v>
      </x:c>
      <x:c r="C10" s="21" t="str">
        <x:v>La posibilidad de reciclaje depende de las instalaciones locales.</x:v>
      </x:c>
      <x:c r="D10" s="21" t="str">
        <x:v>100% eco-friendly.</x:v>
      </x:c>
      <x:c r="E10" s="21" t="str">
        <x:v>100% ecológico.</x:v>
      </x:c>
      <x:c r="F10" s="21" t="str">
        <x:v>环境宣称保留条件。</x:v>
      </x:c>
    </x:row>
    <x:row r="11" ht="64" customHeight="1">
      <x:c r="A11" s="21" t="str">
        <x:v>CTA了解详情</x:v>
      </x:c>
      <x:c r="B11" s="21" t="str">
        <x:v>See product details.</x:v>
      </x:c>
      <x:c r="C11" s="21" t="str">
        <x:v>Consulta los detalles.</x:v>
      </x:c>
      <x:c r="D11" s="21" t="str">
        <x:v>Buy now before it is gone.</x:v>
      </x:c>
      <x:c r="E11" s="21" t="str">
        <x:v>Compra antes de que se agote.</x:v>
      </x:c>
      <x:c r="F11" s="21" t="str">
        <x:v>使用邀请式而非稀缺性CTA。</x:v>
      </x:c>
    </x:row>
    <x:row r="12" ht="64" customHeight="1">
      <x:c r="A12" s="21" t="str">
        <x:v>CTA查看用法</x:v>
      </x:c>
      <x:c r="B12" s="21" t="str">
        <x:v>Learn how to use it.</x:v>
      </x:c>
      <x:c r="C12" s="21" t="str">
        <x:v>Descubre cómo usarlo.</x:v>
      </x:c>
      <x:c r="D12" s="21" t="str">
        <x:v>Transform your skin today.</x:v>
      </x:c>
      <x:c r="E12" s="21" t="str">
        <x:v>Transforma tu piel hoy.</x:v>
      </x:c>
      <x:c r="F12" s="21" t="str">
        <x:v>避免即时结果承诺。</x:v>
      </x:c>
    </x:row>
    <x:row r="13" ht="64" customHeight="1">
      <x:c r="A13" s="22" t="str">
        <x:v>品牌收束</x:v>
      </x:c>
      <x:c r="B13" s="22" t="str">
        <x:v>A simple step for everyday care.</x:v>
      </x:c>
      <x:c r="C13" s="22" t="str">
        <x:v>Un paso sencillo para el cuidado diario.</x:v>
      </x:c>
      <x:c r="D13" s="22" t="str">
        <x:v>The ultimate solution for perfect skin.</x:v>
      </x:c>
      <x:c r="E13" s="22" t="str">
        <x:v>La solución definitiva para una piel perfecta.</x:v>
      </x:c>
      <x:c r="F13" s="22" t="str">
        <x:v>保持平静、克制的品牌人格。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6ccd97db9514a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2" hidden="0" customWidth="1"/>
    <x:col min="5" max="5" width="36" hidden="0" customWidth="1"/>
    <x:col min="6" max="6" width="20" hidden="0" customWidth="1"/>
    <x:col min="7" max="7" width="12" hidden="0" customWidth="1"/>
    <x:col min="8" max="8" width="43" hidden="0" customWidth="1"/>
    <x:col min="9" max="9" width="40" hidden="0" customWidth="1"/>
    <x:col min="10" max="10" width="46" hidden="0" customWidth="1"/>
    <x:col min="11" max="11" width="38" hidden="0" customWidth="1"/>
    <x:col min="12" max="12" width="53" hidden="0" customWidth="1"/>
    <x:col min="13" max="13" width="16" hidden="0" customWidth="1"/>
    <x:col min="14" max="14" width="10" hidden="0" customWidth="1"/>
  </x:cols>
  <x:sheetData>
    <x:row r="1" ht="30" customHeight="1">
      <x:c r="A1" s="3" t="str">
        <x:v>禁用表达｜命中后阻断输出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当前MVP中禁止使用；检测需覆盖原词、词形变化和语义等价表达。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12" t="str">
        <x:v>rule_id</x:v>
      </x:c>
      <x:c r="B3" s="12" t="str">
        <x:v>list_type</x:v>
      </x:c>
      <x:c r="C3" s="12" t="str">
        <x:v>category</x:v>
      </x:c>
      <x:c r="D3" s="12" t="str">
        <x:v>term_en</x:v>
      </x:c>
      <x:c r="E3" s="12" t="str">
        <x:v>term_es</x:v>
      </x:c>
      <x:c r="F3" s="12" t="str">
        <x:v>detection_mode</x:v>
      </x:c>
      <x:c r="G3" s="12" t="str">
        <x:v>severity</x:v>
      </x:c>
      <x:c r="H3" s="12" t="str">
        <x:v>reason_zh</x:v>
      </x:c>
      <x:c r="I3" s="12" t="str">
        <x:v>safe_alternative_en</x:v>
      </x:c>
      <x:c r="J3" s="12" t="str">
        <x:v>safe_alternative_es</x:v>
      </x:c>
      <x:c r="K3" s="12" t="str">
        <x:v>evidence_required</x:v>
      </x:c>
      <x:c r="L3" s="12" t="str">
        <x:v>source_url</x:v>
      </x:c>
      <x:c r="M3" s="12" t="str">
        <x:v>verified_date</x:v>
      </x:c>
      <x:c r="N3" s="12" t="str">
        <x:v>version</x:v>
      </x:c>
    </x:row>
    <x:row r="4" ht="64" customHeight="1">
      <x:c r="A4" s="20" t="str">
        <x:v>R-P001</x:v>
      </x:c>
      <x:c r="B4" s="20" t="str">
        <x:v>prohibited</x:v>
      </x:c>
      <x:c r="C4" s="20" t="str">
        <x:v>medical_claim</x:v>
      </x:c>
      <x:c r="D4" s="20" t="str">
        <x:v>cure / cures / cured</x:v>
      </x:c>
      <x:c r="E4" s="20" t="str">
        <x:v>curar / cura / curado</x:v>
      </x:c>
      <x:c r="F4" s="20" t="str">
        <x:v>semantic</x:v>
      </x:c>
      <x:c r="G4" s="20" t="str">
        <x:v>block</x:v>
      </x:c>
      <x:c r="H4" s="20" t="str">
        <x:v>基础化妆品不得宣称治愈疾病。</x:v>
      </x:c>
      <x:c r="I4" s="20" t="str">
        <x:v>helps skin feel comfortable</x:v>
      </x:c>
      <x:c r="J4" s="20" t="str">
        <x:v>ayuda a que la piel se sienta cómoda</x:v>
      </x:c>
      <x:c r="K4" s="20" t="str">
        <x:v>not_applicable_in_current_MVP</x:v>
      </x:c>
      <x:c r="L4" s="20" t="str">
        <x:v>https://www.fda.gov/cosmetics/cosmetics-labeling/cosmetics-labeling-claims</x:v>
      </x:c>
      <x:c r="M4" s="20" t="str">
        <x:v>2026-07-28</x:v>
      </x:c>
      <x:c r="N4" s="20" t="str">
        <x:v>1.0</x:v>
      </x:c>
    </x:row>
    <x:row r="5" ht="64" customHeight="1">
      <x:c r="A5" s="21" t="str">
        <x:v>R-P002</x:v>
      </x:c>
      <x:c r="B5" s="21" t="str">
        <x:v>prohibited</x:v>
      </x:c>
      <x:c r="C5" s="21" t="str">
        <x:v>medical_claim</x:v>
      </x:c>
      <x:c r="D5" s="21" t="str">
        <x:v>treats acne or eczema</x:v>
      </x:c>
      <x:c r="E5" s="21" t="str">
        <x:v>trata el acné o el eczema</x:v>
      </x:c>
      <x:c r="F5" s="21" t="str">
        <x:v>semantic</x:v>
      </x:c>
      <x:c r="G5" s="21" t="str">
        <x:v>block</x:v>
      </x:c>
      <x:c r="H5" s="21" t="str">
        <x:v>治疗疾病会改变商品监管属性。</x:v>
      </x:c>
      <x:c r="I5" s="21" t="str">
        <x:v>cleanses the skin / helps skin feel moisturized</x:v>
      </x:c>
      <x:c r="J5" s="21" t="str">
        <x:v>limpia la piel / ayuda a que la piel se sienta hidratada</x:v>
      </x:c>
      <x:c r="K5" s="21" t="str">
        <x:v>not_applicable_in_current_MVP</x:v>
      </x:c>
      <x:c r="L5" s="21" t="str">
        <x:v>https://www.fda.gov/cosmetics/cosmetics-labeling/cosmetics-labeling-claims</x:v>
      </x:c>
      <x:c r="M5" s="21" t="str">
        <x:v>2026-07-28</x:v>
      </x:c>
      <x:c r="N5" s="21" t="str">
        <x:v>1.0</x:v>
      </x:c>
    </x:row>
    <x:row r="6" ht="64" customHeight="1">
      <x:c r="A6" s="21" t="str">
        <x:v>R-P003</x:v>
      </x:c>
      <x:c r="B6" s="21" t="str">
        <x:v>prohibited</x:v>
      </x:c>
      <x:c r="C6" s="21" t="str">
        <x:v>medical_claim</x:v>
      </x:c>
      <x:c r="D6" s="21" t="str">
        <x:v>prevents skin disease</x:v>
      </x:c>
      <x:c r="E6" s="21" t="str">
        <x:v>previene enfermedades de la piel</x:v>
      </x:c>
      <x:c r="F6" s="21" t="str">
        <x:v>semantic</x:v>
      </x:c>
      <x:c r="G6" s="21" t="str">
        <x:v>block</x:v>
      </x:c>
      <x:c r="H6" s="21" t="str">
        <x:v>当前商品无疾病预防用途。</x:v>
      </x:c>
      <x:c r="I6" s="21" t="str">
        <x:v>supports a simple daily routine</x:v>
      </x:c>
      <x:c r="J6" s="21" t="str">
        <x:v>acompaña una rutina diaria sencilla</x:v>
      </x:c>
      <x:c r="K6" s="21" t="str">
        <x:v>not_applicable_in_current_MVP</x:v>
      </x:c>
      <x:c r="L6" s="21" t="str">
        <x:v>https://www.fda.gov/cosmetics/cosmetics-labeling/cosmetics-labeling-claims</x:v>
      </x:c>
      <x:c r="M6" s="21" t="str">
        <x:v>2026-07-28</x:v>
      </x:c>
      <x:c r="N6" s="21" t="str">
        <x:v>1.0</x:v>
      </x:c>
    </x:row>
    <x:row r="7" ht="64" customHeight="1">
      <x:c r="A7" s="21" t="str">
        <x:v>R-P004</x:v>
      </x:c>
      <x:c r="B7" s="21" t="str">
        <x:v>prohibited</x:v>
      </x:c>
      <x:c r="C7" s="21" t="str">
        <x:v>structure_function</x:v>
      </x:c>
      <x:c r="D7" s="21" t="str">
        <x:v>repairs or rebuilds the skin barrier</x:v>
      </x:c>
      <x:c r="E7" s="21" t="str">
        <x:v>repara o reconstruye la barrera cutánea</x:v>
      </x:c>
      <x:c r="F7" s="21" t="str">
        <x:v>semantic</x:v>
      </x:c>
      <x:c r="G7" s="21" t="str">
        <x:v>block</x:v>
      </x:c>
      <x:c r="H7" s="21" t="str">
        <x:v>事实库没有皮肤结构修复证据。</x:v>
      </x:c>
      <x:c r="I7" s="21" t="str">
        <x:v>helps skin feel hydrated</x:v>
      </x:c>
      <x:c r="J7" s="21" t="str">
        <x:v>ayuda a que la piel se sienta hidratada</x:v>
      </x:c>
      <x:c r="K7" s="21" t="str">
        <x:v>specific_external_efficacy_evidence</x:v>
      </x:c>
      <x:c r="L7" s="21" t="str">
        <x:v>data/products/product_facts.json</x:v>
      </x:c>
      <x:c r="M7" s="21" t="str">
        <x:v>2026-07-28</x:v>
      </x:c>
      <x:c r="N7" s="21" t="str">
        <x:v>1.0</x:v>
      </x:c>
    </x:row>
    <x:row r="8" ht="64" customHeight="1">
      <x:c r="A8" s="21" t="str">
        <x:v>R-P005</x:v>
      </x:c>
      <x:c r="B8" s="21" t="str">
        <x:v>prohibited</x:v>
      </x:c>
      <x:c r="C8" s="21" t="str">
        <x:v>anti_aging</x:v>
      </x:c>
      <x:c r="D8" s="21" t="str">
        <x:v>removes wrinkles / erases fine lines</x:v>
      </x:c>
      <x:c r="E8" s="21" t="str">
        <x:v>elimina arrugas / borra líneas de expresión</x:v>
      </x:c>
      <x:c r="F8" s="21" t="str">
        <x:v>semantic</x:v>
      </x:c>
      <x:c r="G8" s="21" t="str">
        <x:v>block</x:v>
      </x:c>
      <x:c r="H8" s="21" t="str">
        <x:v>事实库没有抗皱测试。</x:v>
      </x:c>
      <x:c r="I8" s="21" t="str">
        <x:v>helps skin feel soft</x:v>
      </x:c>
      <x:c r="J8" s="21" t="str">
        <x:v>ayuda a que la piel se sienta suave</x:v>
      </x:c>
      <x:c r="K8" s="21" t="str">
        <x:v>specific_external_efficacy_evidence</x:v>
      </x:c>
      <x:c r="L8" s="21" t="str">
        <x:v>data/products/product_facts.json</x:v>
      </x:c>
      <x:c r="M8" s="21" t="str">
        <x:v>2026-07-28</x:v>
      </x:c>
      <x:c r="N8" s="21" t="str">
        <x:v>1.0</x:v>
      </x:c>
    </x:row>
    <x:row r="9" ht="64" customHeight="1">
      <x:c r="A9" s="21" t="str">
        <x:v>R-P006</x:v>
      </x:c>
      <x:c r="B9" s="21" t="str">
        <x:v>prohibited</x:v>
      </x:c>
      <x:c r="C9" s="21" t="str">
        <x:v>clinical_claim</x:v>
      </x:c>
      <x:c r="D9" s="21" t="str">
        <x:v>clinically proven</x:v>
      </x:c>
      <x:c r="E9" s="21" t="str">
        <x:v>clínicamente comprobado</x:v>
      </x:c>
      <x:c r="F9" s="21" t="str">
        <x:v>semantic</x:v>
      </x:c>
      <x:c r="G9" s="21" t="str">
        <x:v>block</x:v>
      </x:c>
      <x:c r="H9" s="21" t="str">
        <x:v>没有临床研究资料。</x:v>
      </x:c>
      <x:c r="I9" s="21" t="str">
        <x:v>based on the project product specification</x:v>
      </x:c>
      <x:c r="J9" s="21" t="str">
        <x:v>según la ficha de producto del proyecto</x:v>
      </x:c>
      <x:c r="K9" s="21" t="str">
        <x:v>clinical_study_and_claim_review</x:v>
      </x:c>
      <x:c r="L9" s="21" t="str">
        <x:v>data/products/product_facts.json</x:v>
      </x:c>
      <x:c r="M9" s="21" t="str">
        <x:v>2026-07-28</x:v>
      </x:c>
      <x:c r="N9" s="21" t="str">
        <x:v>1.0</x:v>
      </x:c>
    </x:row>
    <x:row r="10" ht="64" customHeight="1">
      <x:c r="A10" s="21" t="str">
        <x:v>R-P007</x:v>
      </x:c>
      <x:c r="B10" s="21" t="str">
        <x:v>prohibited</x:v>
      </x:c>
      <x:c r="C10" s="21" t="str">
        <x:v>regulatory_approval</x:v>
      </x:c>
      <x:c r="D10" s="21" t="str">
        <x:v>FDA approved</x:v>
      </x:c>
      <x:c r="E10" s="21" t="str">
        <x:v>aprobado por la FDA</x:v>
      </x:c>
      <x:c r="F10" s="21" t="str">
        <x:v>exact_and_semantic</x:v>
      </x:c>
      <x:c r="G10" s="21" t="str">
        <x:v>block</x:v>
      </x:c>
      <x:c r="H10" s="21" t="str">
        <x:v>FDA明确化妆品不得暗示FDA批准。</x:v>
      </x:c>
      <x:c r="I10" s="21" t="str">
        <x:v>omit the approval claim</x:v>
      </x:c>
      <x:c r="J10" s="21" t="str">
        <x:v>omitir la afirmación de aprobación</x:v>
      </x:c>
      <x:c r="K10" s="21" t="str">
        <x:v>not_applicable</x:v>
      </x:c>
      <x:c r="L10" s="21" t="str">
        <x:v>https://www.fda.gov/cosmetics/cosmetics-labeling/cosmetics-labeling-regulations</x:v>
      </x:c>
      <x:c r="M10" s="21" t="str">
        <x:v>2026-07-28</x:v>
      </x:c>
      <x:c r="N10" s="21" t="str">
        <x:v>1.0</x:v>
      </x:c>
    </x:row>
    <x:row r="11" ht="64" customHeight="1">
      <x:c r="A11" s="21" t="str">
        <x:v>R-P008</x:v>
      </x:c>
      <x:c r="B11" s="21" t="str">
        <x:v>prohibited</x:v>
      </x:c>
      <x:c r="C11" s="21" t="str">
        <x:v>regulatory_approval</x:v>
      </x:c>
      <x:c r="D11" s="21" t="str">
        <x:v>COFEPRIS approved</x:v>
      </x:c>
      <x:c r="E11" s="21" t="str">
        <x:v>aprobado por COFEPRIS</x:v>
      </x:c>
      <x:c r="F11" s="21" t="str">
        <x:v>exact_and_semantic</x:v>
      </x:c>
      <x:c r="G11" s="21" t="str">
        <x:v>block</x:v>
      </x:c>
      <x:c r="H11" s="21" t="str">
        <x:v>项目没有墨西哥监管批准资料。</x:v>
      </x:c>
      <x:c r="I11" s="21" t="str">
        <x:v>omit the approval claim</x:v>
      </x:c>
      <x:c r="J11" s="21" t="str">
        <x:v>omitir la afirmación de aprobación</x:v>
      </x:c>
      <x:c r="K11" s="21" t="str">
        <x:v>official_product_specific_authorization_if_applicable</x:v>
      </x:c>
      <x:c r="L11" s="21" t="str">
        <x:v>data/products/product_facts.json</x:v>
      </x:c>
      <x:c r="M11" s="21" t="str">
        <x:v>2026-07-28</x:v>
      </x:c>
      <x:c r="N11" s="21" t="str">
        <x:v>1.0</x:v>
      </x:c>
    </x:row>
    <x:row r="12" ht="64" customHeight="1">
      <x:c r="A12" s="21" t="str">
        <x:v>R-P009</x:v>
      </x:c>
      <x:c r="B12" s="21" t="str">
        <x:v>prohibited</x:v>
      </x:c>
      <x:c r="C12" s="21" t="str">
        <x:v>safety_claim</x:v>
      </x:c>
      <x:c r="D12" s="21" t="str">
        <x:v>hypoallergenic</x:v>
      </x:c>
      <x:c r="E12" s="21" t="str">
        <x:v>hipoalergénico</x:v>
      </x:c>
      <x:c r="F12" s="21" t="str">
        <x:v>exact_and_semantic</x:v>
      </x:c>
      <x:c r="G12" s="21" t="str">
        <x:v>block</x:v>
      </x:c>
      <x:c r="H12" s="21" t="str">
        <x:v>当前事实库没有低敏测试。</x:v>
      </x:c>
      <x:c r="I12" s="21" t="str">
        <x:v>made without added fragrance</x:v>
      </x:c>
      <x:c r="J12" s="21" t="str">
        <x:v>sin fragancia añadida</x:v>
      </x:c>
      <x:c r="K12" s="21" t="str">
        <x:v>hypoallergenic_test_and_review</x:v>
      </x:c>
      <x:c r="L12" s="21" t="str">
        <x:v>data/products/product_facts.json</x:v>
      </x:c>
      <x:c r="M12" s="21" t="str">
        <x:v>2026-07-28</x:v>
      </x:c>
      <x:c r="N12" s="21" t="str">
        <x:v>1.0</x:v>
      </x:c>
    </x:row>
    <x:row r="13" ht="64" customHeight="1">
      <x:c r="A13" s="21" t="str">
        <x:v>R-P010</x:v>
      </x:c>
      <x:c r="B13" s="21" t="str">
        <x:v>prohibited</x:v>
      </x:c>
      <x:c r="C13" s="21" t="str">
        <x:v>safety_claim</x:v>
      </x:c>
      <x:c r="D13" s="21" t="str">
        <x:v>allergy-free</x:v>
      </x:c>
      <x:c r="E13" s="21" t="str">
        <x:v>libre de alergias</x:v>
      </x:c>
      <x:c r="F13" s="21" t="str">
        <x:v>semantic</x:v>
      </x:c>
      <x:c r="G13" s="21" t="str">
        <x:v>block</x:v>
      </x:c>
      <x:c r="H13" s="21" t="str">
        <x:v>无添加香精不等于无过敏风险。</x:v>
      </x:c>
      <x:c r="I13" s="21" t="str">
        <x:v>fragrance-free</x:v>
      </x:c>
      <x:c r="J13" s="21" t="str">
        <x:v>sin fragancia añadida</x:v>
      </x:c>
      <x:c r="K13" s="21" t="str">
        <x:v>robust_allergy_evidence</x:v>
      </x:c>
      <x:c r="L13" s="21" t="str">
        <x:v>data/products/product_facts.json</x:v>
      </x:c>
      <x:c r="M13" s="21" t="str">
        <x:v>2026-07-28</x:v>
      </x:c>
      <x:c r="N13" s="21" t="str">
        <x:v>1.0</x:v>
      </x:c>
    </x:row>
    <x:row r="14" ht="64" customHeight="1">
      <x:c r="A14" s="21" t="str">
        <x:v>R-P011</x:v>
      </x:c>
      <x:c r="B14" s="21" t="str">
        <x:v>prohibited</x:v>
      </x:c>
      <x:c r="C14" s="21" t="str">
        <x:v>absolute_claim</x:v>
      </x:c>
      <x:c r="D14" s="21" t="str">
        <x:v>safe for everyone</x:v>
      </x:c>
      <x:c r="E14" s="21" t="str">
        <x:v>seguro para todas las personas</x:v>
      </x:c>
      <x:c r="F14" s="21" t="str">
        <x:v>semantic</x:v>
      </x:c>
      <x:c r="G14" s="21" t="str">
        <x:v>block</x:v>
      </x:c>
      <x:c r="H14" s="21" t="str">
        <x:v>绝对安全无法由当前资料支持。</x:v>
      </x:c>
      <x:c r="I14" s="21" t="str">
        <x:v>for adults seeking a simple daily routine</x:v>
      </x:c>
      <x:c r="J14" s="21" t="str">
        <x:v>para personas adultas que buscan una rutina diaria sencilla</x:v>
      </x:c>
      <x:c r="K14" s="21" t="str">
        <x:v>broad_population_safety_evidence</x:v>
      </x:c>
      <x:c r="L14" s="21" t="str">
        <x:v>data/products/product_facts.json</x:v>
      </x:c>
      <x:c r="M14" s="21" t="str">
        <x:v>2026-07-28</x:v>
      </x:c>
      <x:c r="N14" s="21" t="str">
        <x:v>1.0</x:v>
      </x:c>
    </x:row>
    <x:row r="15" ht="64" customHeight="1">
      <x:c r="A15" s="21" t="str">
        <x:v>R-P012</x:v>
      </x:c>
      <x:c r="B15" s="21" t="str">
        <x:v>prohibited</x:v>
      </x:c>
      <x:c r="C15" s="21" t="str">
        <x:v>absolute_claim</x:v>
      </x:c>
      <x:c r="D15" s="21" t="str">
        <x:v>guaranteed results</x:v>
      </x:c>
      <x:c r="E15" s="21" t="str">
        <x:v>resultados garantizados</x:v>
      </x:c>
      <x:c r="F15" s="21" t="str">
        <x:v>semantic</x:v>
      </x:c>
      <x:c r="G15" s="21" t="str">
        <x:v>block</x:v>
      </x:c>
      <x:c r="H15" s="21" t="str">
        <x:v>个体结果不可保证。</x:v>
      </x:c>
      <x:c r="I15" s="21" t="str">
        <x:v>helps skin feel hydrated</x:v>
      </x:c>
      <x:c r="J15" s="21" t="str">
        <x:v>ayuda a que la piel se sienta hidratada</x:v>
      </x:c>
      <x:c r="K15" s="21" t="str">
        <x:v>not_applicable_in_current_MVP</x:v>
      </x:c>
      <x:c r="L15" s="21" t="str">
        <x:v>data/brand/brand_voice_guide.md</x:v>
      </x:c>
      <x:c r="M15" s="21" t="str">
        <x:v>2026-07-28</x:v>
      </x:c>
      <x:c r="N15" s="21" t="str">
        <x:v>1.0</x:v>
      </x:c>
    </x:row>
    <x:row r="16" ht="64" customHeight="1">
      <x:c r="A16" s="21" t="str">
        <x:v>R-P013</x:v>
      </x:c>
      <x:c r="B16" s="21" t="str">
        <x:v>prohibited</x:v>
      </x:c>
      <x:c r="C16" s="21" t="str">
        <x:v>hype</x:v>
      </x:c>
      <x:c r="D16" s="21" t="str">
        <x:v>miracle / miraculous</x:v>
      </x:c>
      <x:c r="E16" s="21" t="str">
        <x:v>milagro / milagroso</x:v>
      </x:c>
      <x:c r="F16" s="21" t="str">
        <x:v>semantic</x:v>
      </x:c>
      <x:c r="G16" s="21" t="str">
        <x:v>block</x:v>
      </x:c>
      <x:c r="H16" s="21" t="str">
        <x:v>违反克制可信的品牌语调。</x:v>
      </x:c>
      <x:c r="I16" s="21" t="str">
        <x:v>simple / gentle</x:v>
      </x:c>
      <x:c r="J16" s="21" t="str">
        <x:v>sencillo / suave</x:v>
      </x:c>
      <x:c r="K16" s="21" t="str">
        <x:v>not_applicable</x:v>
      </x:c>
      <x:c r="L16" s="21" t="str">
        <x:v>data/brand/brand_voice_guide.md</x:v>
      </x:c>
      <x:c r="M16" s="21" t="str">
        <x:v>2026-07-28</x:v>
      </x:c>
      <x:c r="N16" s="21" t="str">
        <x:v>1.0</x:v>
      </x:c>
    </x:row>
    <x:row r="17" ht="64" customHeight="1">
      <x:c r="A17" s="21" t="str">
        <x:v>R-P014</x:v>
      </x:c>
      <x:c r="B17" s="21" t="str">
        <x:v>prohibited</x:v>
      </x:c>
      <x:c r="C17" s="21" t="str">
        <x:v>safety_claim</x:v>
      </x:c>
      <x:c r="D17" s="21" t="str">
        <x:v>non-toxic</x:v>
      </x:c>
      <x:c r="E17" s="21" t="str">
        <x:v>no tóxico</x:v>
      </x:c>
      <x:c r="F17" s="21" t="str">
        <x:v>semantic</x:v>
      </x:c>
      <x:c r="G17" s="21" t="str">
        <x:v>block</x:v>
      </x:c>
      <x:c r="H17" s="21" t="str">
        <x:v>当前资料没有支持对人体和环境均无毒的证据。</x:v>
      </x:c>
      <x:c r="I17" s="21" t="str">
        <x:v>list the verified ingredients or features</x:v>
      </x:c>
      <x:c r="J17" s="21" t="str">
        <x:v>indicar los ingredientes o las características verificadas</x:v>
      </x:c>
      <x:c r="K17" s="21" t="str">
        <x:v>competent_and_reliable_scientific_evidence</x:v>
      </x:c>
      <x:c r="L17" s="21" t="str">
        <x:v>https://www.ftc.gov/business-guidance/resources/environmental-claims-summary-green-guides</x:v>
      </x:c>
      <x:c r="M17" s="21" t="str">
        <x:v>2026-07-28</x:v>
      </x:c>
      <x:c r="N17" s="21" t="str">
        <x:v>1.0</x:v>
      </x:c>
    </x:row>
    <x:row r="18" ht="64" customHeight="1">
      <x:c r="A18" s="21" t="str">
        <x:v>R-P015</x:v>
      </x:c>
      <x:c r="B18" s="21" t="str">
        <x:v>prohibited</x:v>
      </x:c>
      <x:c r="C18" s="21" t="str">
        <x:v>free_from_claim</x:v>
      </x:c>
      <x:c r="D18" s="21" t="str">
        <x:v>chemical-free</x:v>
      </x:c>
      <x:c r="E18" s="21" t="str">
        <x:v>libre de químicos</x:v>
      </x:c>
      <x:c r="F18" s="21" t="str">
        <x:v>semantic</x:v>
      </x:c>
      <x:c r="G18" s="21" t="str">
        <x:v>block</x:v>
      </x:c>
      <x:c r="H18" s="21" t="str">
        <x:v>宽泛且不科学，事实库也不支持。</x:v>
      </x:c>
      <x:c r="I18" s="21" t="str">
        <x:v>made without added fragrance</x:v>
      </x:c>
      <x:c r="J18" s="21" t="str">
        <x:v>sin fragancia añadida</x:v>
      </x:c>
      <x:c r="K18" s="21" t="str">
        <x:v>not_applicable</x:v>
      </x:c>
      <x:c r="L18" s="21" t="str">
        <x:v>https://www.ftc.gov/business-guidance/resources/environmental-claims-summary-green-guides</x:v>
      </x:c>
      <x:c r="M18" s="21" t="str">
        <x:v>2026-07-28</x:v>
      </x:c>
      <x:c r="N18" s="21" t="str">
        <x:v>1.0</x:v>
      </x:c>
    </x:row>
    <x:row r="19" ht="64" customHeight="1">
      <x:c r="A19" s="21" t="str">
        <x:v>R-P016</x:v>
      </x:c>
      <x:c r="B19" s="21" t="str">
        <x:v>prohibited</x:v>
      </x:c>
      <x:c r="C19" s="21" t="str">
        <x:v>medical_claim</x:v>
      </x:c>
      <x:c r="D19" s="21" t="str">
        <x:v>antibacterial</x:v>
      </x:c>
      <x:c r="E19" s="21" t="str">
        <x:v>antibacteriano</x:v>
      </x:c>
      <x:c r="F19" s="21" t="str">
        <x:v>semantic</x:v>
      </x:c>
      <x:c r="G19" s="21" t="str">
        <x:v>block</x:v>
      </x:c>
      <x:c r="H19" s="21" t="str">
        <x:v>当前商品没有抗菌功效或相关测试。</x:v>
      </x:c>
      <x:c r="I19" s="21" t="str">
        <x:v>cleanses surface dirt</x:v>
      </x:c>
      <x:c r="J19" s="21" t="str">
        <x:v>limpia la suciedad superficial</x:v>
      </x:c>
      <x:c r="K19" s="21" t="str">
        <x:v>antimicrobial_test_and_regulatory_review</x:v>
      </x:c>
      <x:c r="L19" s="21" t="str">
        <x:v>data/products/product_facts.json</x:v>
      </x:c>
      <x:c r="M19" s="21" t="str">
        <x:v>2026-07-28</x:v>
      </x:c>
      <x:c r="N19" s="21" t="str">
        <x:v>1.0</x:v>
      </x:c>
    </x:row>
    <x:row r="20" ht="64" customHeight="1">
      <x:c r="A20" s="21" t="str">
        <x:v>R-P017</x:v>
      </x:c>
      <x:c r="B20" s="21" t="str">
        <x:v>prohibited</x:v>
      </x:c>
      <x:c r="C20" s="21" t="str">
        <x:v>medical_claim</x:v>
      </x:c>
      <x:c r="D20" s="21" t="str">
        <x:v>anti-inflammatory</x:v>
      </x:c>
      <x:c r="E20" s="21" t="str">
        <x:v>antiinflamatorio</x:v>
      </x:c>
      <x:c r="F20" s="21" t="str">
        <x:v>semantic</x:v>
      </x:c>
      <x:c r="G20" s="21" t="str">
        <x:v>block</x:v>
      </x:c>
      <x:c r="H20" s="21" t="str">
        <x:v>当前商品没有抗炎功效资料。</x:v>
      </x:c>
      <x:c r="I20" s="21" t="str">
        <x:v>helps skin feel comfortable</x:v>
      </x:c>
      <x:c r="J20" s="21" t="str">
        <x:v>ayuda a que la piel se sienta cómoda</x:v>
      </x:c>
      <x:c r="K20" s="21" t="str">
        <x:v>specific_external_efficacy_evidence</x:v>
      </x:c>
      <x:c r="L20" s="21" t="str">
        <x:v>data/products/product_facts.json</x:v>
      </x:c>
      <x:c r="M20" s="21" t="str">
        <x:v>2026-07-28</x:v>
      </x:c>
      <x:c r="N20" s="21" t="str">
        <x:v>1.0</x:v>
      </x:c>
    </x:row>
    <x:row r="21" ht="64" customHeight="1">
      <x:c r="A21" s="21" t="str">
        <x:v>R-P018</x:v>
      </x:c>
      <x:c r="B21" s="21" t="str">
        <x:v>prohibited</x:v>
      </x:c>
      <x:c r="C21" s="21" t="str">
        <x:v>detox_claim</x:v>
      </x:c>
      <x:c r="D21" s="21" t="str">
        <x:v>detox / deep detox</x:v>
      </x:c>
      <x:c r="E21" s="21" t="str">
        <x:v>detox / desintoxicación profunda</x:v>
      </x:c>
      <x:c r="F21" s="21" t="str">
        <x:v>semantic</x:v>
      </x:c>
      <x:c r="G21" s="21" t="str">
        <x:v>block</x:v>
      </x:c>
      <x:c r="H21" s="21" t="str">
        <x:v>事实库仅支持表面清洁。</x:v>
      </x:c>
      <x:c r="I21" s="21" t="str">
        <x:v>helps remove surface dirt and excess oil</x:v>
      </x:c>
      <x:c r="J21" s="21" t="str">
        <x:v>ayuda a retirar la suciedad superficial y el exceso de grasa</x:v>
      </x:c>
      <x:c r="K21" s="21" t="str">
        <x:v>specific_supported_mechanism</x:v>
      </x:c>
      <x:c r="L21" s="21" t="str">
        <x:v>data/products/product_facts.json</x:v>
      </x:c>
      <x:c r="M21" s="21" t="str">
        <x:v>2026-07-28</x:v>
      </x:c>
      <x:c r="N21" s="21" t="str">
        <x:v>1.0</x:v>
      </x:c>
    </x:row>
    <x:row r="22" ht="64" customHeight="1">
      <x:c r="A22" s="21" t="str">
        <x:v>R-P019</x:v>
      </x:c>
      <x:c r="B22" s="21" t="str">
        <x:v>prohibited</x:v>
      </x:c>
      <x:c r="C22" s="21" t="str">
        <x:v>duration_claim</x:v>
      </x:c>
      <x:c r="D22" s="21" t="str">
        <x:v>72-hour hydration</x:v>
      </x:c>
      <x:c r="E22" s="21" t="str">
        <x:v>hidratación por 72 horas</x:v>
      </x:c>
      <x:c r="F22" s="21" t="str">
        <x:v>semantic</x:v>
      </x:c>
      <x:c r="G22" s="21" t="str">
        <x:v>block</x:v>
      </x:c>
      <x:c r="H22" s="21" t="str">
        <x:v>没有持续时间测试。</x:v>
      </x:c>
      <x:c r="I22" s="21" t="str">
        <x:v>helps skin feel hydrated</x:v>
      </x:c>
      <x:c r="J22" s="21" t="str">
        <x:v>ayuda a que la piel se sienta hidratada</x:v>
      </x:c>
      <x:c r="K22" s="21" t="str">
        <x:v>time_bound_hydration_study</x:v>
      </x:c>
      <x:c r="L22" s="21" t="str">
        <x:v>data/products/product_facts.json</x:v>
      </x:c>
      <x:c r="M22" s="21" t="str">
        <x:v>2026-07-28</x:v>
      </x:c>
      <x:c r="N22" s="21" t="str">
        <x:v>1.0</x:v>
      </x:c>
    </x:row>
    <x:row r="23" ht="64" customHeight="1">
      <x:c r="A23" s="21" t="str">
        <x:v>R-P020</x:v>
      </x:c>
      <x:c r="B23" s="21" t="str">
        <x:v>prohibited</x:v>
      </x:c>
      <x:c r="C23" s="21" t="str">
        <x:v>transport_claim</x:v>
      </x:c>
      <x:c r="D23" s="21" t="str">
        <x:v>TSA approved</x:v>
      </x:c>
      <x:c r="E23" s="21" t="str">
        <x:v>aprobado por la TSA</x:v>
      </x:c>
      <x:c r="F23" s="21" t="str">
        <x:v>exact_and_semantic</x:v>
      </x:c>
      <x:c r="G23" s="21" t="str">
        <x:v>block</x:v>
      </x:c>
      <x:c r="H23" s="21" t="str">
        <x:v>套装只有容量事实，没有航空机构批准。</x:v>
      </x:c>
      <x:c r="I23" s="21" t="str">
        <x:v>three travel-size products</x:v>
      </x:c>
      <x:c r="J23" s="21" t="str">
        <x:v>tres productos en tamaño de viaje</x:v>
      </x:c>
      <x:c r="K23" s="21" t="str">
        <x:v>official_transport_evidence</x:v>
      </x:c>
      <x:c r="L23" s="21" t="str">
        <x:v>data/products/product_facts.json</x:v>
      </x:c>
      <x:c r="M23" s="21" t="str">
        <x:v>2026-07-28</x:v>
      </x:c>
      <x:c r="N23" s="21" t="str">
        <x:v>1.0</x:v>
      </x:c>
    </x:row>
    <x:row r="24" ht="64" customHeight="1">
      <x:c r="A24" s="21" t="str">
        <x:v>R-P021</x:v>
      </x:c>
      <x:c r="B24" s="21" t="str">
        <x:v>prohibited</x:v>
      </x:c>
      <x:c r="C24" s="21" t="str">
        <x:v>scarcity_claim</x:v>
      </x:c>
      <x:c r="D24" s="21" t="str">
        <x:v>limited edition / almost sold out</x:v>
      </x:c>
      <x:c r="E24" s="21" t="str">
        <x:v>edición limitada / casi agotado</x:v>
      </x:c>
      <x:c r="F24" s="21" t="str">
        <x:v>semantic</x:v>
      </x:c>
      <x:c r="G24" s="21" t="str">
        <x:v>block</x:v>
      </x:c>
      <x:c r="H24" s="21" t="str">
        <x:v>项目没有限量或库存证据。</x:v>
      </x:c>
      <x:c r="I24" s="21" t="str">
        <x:v>explore the routine</x:v>
      </x:c>
      <x:c r="J24" s="21" t="str">
        <x:v>conoce la rutina</x:v>
      </x:c>
      <x:c r="K24" s="21" t="str">
        <x:v>current_inventory_or_campaign_evidence</x:v>
      </x:c>
      <x:c r="L24" s="21" t="str">
        <x:v>data/brand/brand_voice_guide.md</x:v>
      </x:c>
      <x:c r="M24" s="21" t="str">
        <x:v>2026-07-28</x:v>
      </x:c>
      <x:c r="N24" s="21" t="str">
        <x:v>1.0</x:v>
      </x:c>
    </x:row>
    <x:row r="25" ht="64" customHeight="1">
      <x:c r="A25" s="21" t="str">
        <x:v>R-P022</x:v>
      </x:c>
      <x:c r="B25" s="21" t="str">
        <x:v>prohibited</x:v>
      </x:c>
      <x:c r="C25" s="21" t="str">
        <x:v>endorsement</x:v>
      </x:c>
      <x:c r="D25" s="21" t="str">
        <x:v>doctor recommended</x:v>
      </x:c>
      <x:c r="E25" s="21" t="str">
        <x:v>recomendado por médicos</x:v>
      </x:c>
      <x:c r="F25" s="21" t="str">
        <x:v>semantic</x:v>
      </x:c>
      <x:c r="G25" s="21" t="str">
        <x:v>block</x:v>
      </x:c>
      <x:c r="H25" s="21" t="str">
        <x:v>没有专业人员背书。</x:v>
      </x:c>
      <x:c r="I25" s="21" t="str">
        <x:v>see product details</x:v>
      </x:c>
      <x:c r="J25" s="21" t="str">
        <x:v>consulta los detalles</x:v>
      </x:c>
      <x:c r="K25" s="21" t="str">
        <x:v>documented_endorsement_and_review</x:v>
      </x:c>
      <x:c r="L25" s="21" t="str">
        <x:v>data/products/product_facts.json</x:v>
      </x:c>
      <x:c r="M25" s="21" t="str">
        <x:v>2026-07-28</x:v>
      </x:c>
      <x:c r="N25" s="21" t="str">
        <x:v>1.0</x:v>
      </x:c>
    </x:row>
    <x:row r="26" ht="64" customHeight="1">
      <x:c r="A26" s="21" t="str">
        <x:v>R-P023</x:v>
      </x:c>
      <x:c r="B26" s="21" t="str">
        <x:v>prohibited</x:v>
      </x:c>
      <x:c r="C26" s="21" t="str">
        <x:v>environmental_claim</x:v>
      </x:c>
      <x:c r="D26" s="21" t="str">
        <x:v>100% eco-friendly / completely green</x:v>
      </x:c>
      <x:c r="E26" s="21" t="str">
        <x:v>100% ecológico / totalmente verde</x:v>
      </x:c>
      <x:c r="F26" s="21" t="str">
        <x:v>semantic</x:v>
      </x:c>
      <x:c r="G26" s="21" t="str">
        <x:v>block</x:v>
      </x:c>
      <x:c r="H26" s="21" t="str">
        <x:v>宽泛环保宣称缺乏明确依据。</x:v>
      </x:c>
      <x:c r="I26" s="21" t="str">
        <x:v>recyclability depends on local facilities</x:v>
      </x:c>
      <x:c r="J26" s="21" t="str">
        <x:v>la posibilidad de reciclaje depende de las instalaciones locales</x:v>
      </x:c>
      <x:c r="K26" s="21" t="str">
        <x:v>specific_lifecycle_evidence</x:v>
      </x:c>
      <x:c r="L26" s="21" t="str">
        <x:v>https://www.ftc.gov/business-guidance/resources/environmental-claims-summary-green-guides</x:v>
      </x:c>
      <x:c r="M26" s="21" t="str">
        <x:v>2026-07-28</x:v>
      </x:c>
      <x:c r="N26" s="21" t="str">
        <x:v>1.0</x:v>
      </x:c>
    </x:row>
    <x:row r="27" ht="64" customHeight="1">
      <x:c r="A27" s="22" t="str">
        <x:v>R-P024</x:v>
      </x:c>
      <x:c r="B27" s="22" t="str">
        <x:v>prohibited</x:v>
      </x:c>
      <x:c r="C27" s="22" t="str">
        <x:v>environmental_claim</x:v>
      </x:c>
      <x:c r="D27" s="22" t="str">
        <x:v>100% recyclable</x:v>
      </x:c>
      <x:c r="E27" s="22" t="str">
        <x:v>100% reciclable</x:v>
      </x:c>
      <x:c r="F27" s="22" t="str">
        <x:v>semantic</x:v>
      </x:c>
      <x:c r="G27" s="22" t="str">
        <x:v>block</x:v>
      </x:c>
      <x:c r="H27" s="22" t="str">
        <x:v>当前资料仅支持带当地设施条件的可回收表述。</x:v>
      </x:c>
      <x:c r="I27" s="22" t="str">
        <x:v>recyclability depends on local facilities</x:v>
      </x:c>
      <x:c r="J27" s="22" t="str">
        <x:v>la posibilidad de reciclaje depende de las instalaciones locales</x:v>
      </x:c>
      <x:c r="K27" s="22" t="str">
        <x:v>market_access_and_material_evidence</x:v>
      </x:c>
      <x:c r="L27" s="22" t="str">
        <x:v>https://www.ftc.gov/business-guidance/resources/environmental-claims-summary-green-guides</x:v>
      </x:c>
      <x:c r="M27" s="22" t="str">
        <x:v>2026-07-28</x:v>
      </x:c>
      <x:c r="N27" s="22" t="str">
        <x:v>1.0</x:v>
      </x:c>
    </x:row>
  </x:sheetData>
  <x:mergeCells>
    <x:mergeCell ref="A1:N1"/>
    <x:mergeCell ref="A2:N2"/>
  </x:mergeCells>
  <x:conditionalFormatting sqref="A4:N27">
    <x:cfRule type="containsText" dxfId="0" priority="1" operator="containsText" text="block"/>
  </x:conditionalFormatting>
  <x:pageMargins left="0.7" right="0.7" top="0.75" bottom="0.75" header="0.3" footer="0.3"/>
  <x:tableParts count="1">
    <x:tablePart xmlns:r="http://schemas.openxmlformats.org/officeDocument/2006/relationships" r:id="R33cec89918824c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2" hidden="0" customWidth="1"/>
    <x:col min="5" max="5" width="36" hidden="0" customWidth="1"/>
    <x:col min="6" max="6" width="20" hidden="0" customWidth="1"/>
    <x:col min="7" max="7" width="12" hidden="0" customWidth="1"/>
    <x:col min="8" max="8" width="43" hidden="0" customWidth="1"/>
    <x:col min="9" max="9" width="40" hidden="0" customWidth="1"/>
    <x:col min="10" max="10" width="46" hidden="0" customWidth="1"/>
    <x:col min="11" max="11" width="38" hidden="0" customWidth="1"/>
    <x:col min="12" max="12" width="53" hidden="0" customWidth="1"/>
    <x:col min="13" max="13" width="16" hidden="0" customWidth="1"/>
    <x:col min="14" max="14" width="10" hidden="0" customWidth="1"/>
  </x:cols>
  <x:sheetData>
    <x:row r="1" ht="30" customHeight="1">
      <x:c r="A1" s="3" t="str">
        <x:v>谨慎表达｜需要证据与人工复核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不可自动生成；只有补充相应证据并完成人工复核后才能放行。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4" customHeight="1">
      <x:c r="A3" s="12" t="str">
        <x:v>rule_id</x:v>
      </x:c>
      <x:c r="B3" s="12" t="str">
        <x:v>list_type</x:v>
      </x:c>
      <x:c r="C3" s="12" t="str">
        <x:v>category</x:v>
      </x:c>
      <x:c r="D3" s="12" t="str">
        <x:v>term_en</x:v>
      </x:c>
      <x:c r="E3" s="12" t="str">
        <x:v>term_es</x:v>
      </x:c>
      <x:c r="F3" s="12" t="str">
        <x:v>detection_mode</x:v>
      </x:c>
      <x:c r="G3" s="12" t="str">
        <x:v>severity</x:v>
      </x:c>
      <x:c r="H3" s="12" t="str">
        <x:v>reason_zh</x:v>
      </x:c>
      <x:c r="I3" s="12" t="str">
        <x:v>safe_alternative_en</x:v>
      </x:c>
      <x:c r="J3" s="12" t="str">
        <x:v>safe_alternative_es</x:v>
      </x:c>
      <x:c r="K3" s="12" t="str">
        <x:v>evidence_required</x:v>
      </x:c>
      <x:c r="L3" s="12" t="str">
        <x:v>source_url</x:v>
      </x:c>
      <x:c r="M3" s="12" t="str">
        <x:v>verified_date</x:v>
      </x:c>
      <x:c r="N3" s="12" t="str">
        <x:v>version</x:v>
      </x:c>
    </x:row>
    <x:row r="4" ht="64" customHeight="1">
      <x:c r="A4" s="20" t="str">
        <x:v>R-C001</x:v>
      </x:c>
      <x:c r="B4" s="20" t="str">
        <x:v>caution</x:v>
      </x:c>
      <x:c r="C4" s="20" t="str">
        <x:v>target_user</x:v>
      </x:c>
      <x:c r="D4" s="20" t="str">
        <x:v>for sensitive skin</x:v>
      </x:c>
      <x:c r="E4" s="20" t="str">
        <x:v>para piel sensible</x:v>
      </x:c>
      <x:c r="F4" s="20" t="str">
        <x:v>semantic</x:v>
      </x:c>
      <x:c r="G4" s="20" t="str">
        <x:v>review</x:v>
      </x:c>
      <x:c r="H4" s="20" t="str">
        <x:v>当前没有敏感肌专项验证。</x:v>
      </x:c>
      <x:c r="I4" s="20" t="str">
        <x:v>for adults seeking a gentle daily routine</x:v>
      </x:c>
      <x:c r="J4" s="20" t="str">
        <x:v>para personas adultas que buscan una rutina diaria suave</x:v>
      </x:c>
      <x:c r="K4" s="20" t="str">
        <x:v>sensitive_skin_test</x:v>
      </x:c>
      <x:c r="L4" s="20" t="str">
        <x:v>data/products/product_facts.json</x:v>
      </x:c>
      <x:c r="M4" s="20" t="str">
        <x:v>2026-07-28</x:v>
      </x:c>
      <x:c r="N4" s="20" t="str">
        <x:v>1.0</x:v>
      </x:c>
    </x:row>
    <x:row r="5" ht="64" customHeight="1">
      <x:c r="A5" s="21" t="str">
        <x:v>R-C002</x:v>
      </x:c>
      <x:c r="B5" s="21" t="str">
        <x:v>caution</x:v>
      </x:c>
      <x:c r="C5" s="21" t="str">
        <x:v>target_user</x:v>
      </x:c>
      <x:c r="D5" s="21" t="str">
        <x:v>for all skin types</x:v>
      </x:c>
      <x:c r="E5" s="21" t="str">
        <x:v>para todo tipo de piel</x:v>
      </x:c>
      <x:c r="F5" s="21" t="str">
        <x:v>semantic</x:v>
      </x:c>
      <x:c r="G5" s="21" t="str">
        <x:v>review</x:v>
      </x:c>
      <x:c r="H5" s="21" t="str">
        <x:v>目标人群只覆盖已定义肤质，不能自动扩大。</x:v>
      </x:c>
      <x:c r="I5" s="21" t="str">
        <x:v>for normal, dry or combination skin</x:v>
      </x:c>
      <x:c r="J5" s="21" t="str">
        <x:v>para piel normal, seca o mixta</x:v>
      </x:c>
      <x:c r="K5" s="21" t="str">
        <x:v>expanded_target_user_review</x:v>
      </x:c>
      <x:c r="L5" s="21" t="str">
        <x:v>data/products/product_facts.json</x:v>
      </x:c>
      <x:c r="M5" s="21" t="str">
        <x:v>2026-07-28</x:v>
      </x:c>
      <x:c r="N5" s="21" t="str">
        <x:v>1.0</x:v>
      </x:c>
    </x:row>
    <x:row r="6" ht="64" customHeight="1">
      <x:c r="A6" s="21" t="str">
        <x:v>R-C003</x:v>
      </x:c>
      <x:c r="B6" s="21" t="str">
        <x:v>caution</x:v>
      </x:c>
      <x:c r="C6" s="21" t="str">
        <x:v>ethical_claim</x:v>
      </x:c>
      <x:c r="D6" s="21" t="str">
        <x:v>vegan</x:v>
      </x:c>
      <x:c r="E6" s="21" t="str">
        <x:v>vegano</x:v>
      </x:c>
      <x:c r="F6" s="21" t="str">
        <x:v>exact_and_semantic</x:v>
      </x:c>
      <x:c r="G6" s="21" t="str">
        <x:v>review</x:v>
      </x:c>
      <x:c r="H6" s="21" t="str">
        <x:v>没有供应链或配方来源证明。</x:v>
      </x:c>
      <x:c r="I6" s="21" t="str">
        <x:v>omit the claim</x:v>
      </x:c>
      <x:c r="J6" s="21" t="str">
        <x:v>omitir la afirmación</x:v>
      </x:c>
      <x:c r="K6" s="21" t="str">
        <x:v>formula_and_supply_chain_evidence</x:v>
      </x:c>
      <x:c r="L6" s="21" t="str">
        <x:v>data/products/product_facts.json</x:v>
      </x:c>
      <x:c r="M6" s="21" t="str">
        <x:v>2026-07-28</x:v>
      </x:c>
      <x:c r="N6" s="21" t="str">
        <x:v>1.0</x:v>
      </x:c>
    </x:row>
    <x:row r="7" ht="64" customHeight="1">
      <x:c r="A7" s="21" t="str">
        <x:v>R-C004</x:v>
      </x:c>
      <x:c r="B7" s="21" t="str">
        <x:v>caution</x:v>
      </x:c>
      <x:c r="C7" s="21" t="str">
        <x:v>ethical_claim</x:v>
      </x:c>
      <x:c r="D7" s="21" t="str">
        <x:v>cruelty-free</x:v>
      </x:c>
      <x:c r="E7" s="21" t="str">
        <x:v>libre de crueldad / no probado en animales</x:v>
      </x:c>
      <x:c r="F7" s="21" t="str">
        <x:v>semantic</x:v>
      </x:c>
      <x:c r="G7" s="21" t="str">
        <x:v>review</x:v>
      </x:c>
      <x:c r="H7" s="21" t="str">
        <x:v>没有动物测试政策资料。</x:v>
      </x:c>
      <x:c r="I7" s="21" t="str">
        <x:v>omit the claim</x:v>
      </x:c>
      <x:c r="J7" s="21" t="str">
        <x:v>omitir la afirmación</x:v>
      </x:c>
      <x:c r="K7" s="21" t="str">
        <x:v>documented_testing_policy</x:v>
      </x:c>
      <x:c r="L7" s="21" t="str">
        <x:v>data/products/product_facts.json</x:v>
      </x:c>
      <x:c r="M7" s="21" t="str">
        <x:v>2026-07-28</x:v>
      </x:c>
      <x:c r="N7" s="21" t="str">
        <x:v>1.0</x:v>
      </x:c>
    </x:row>
    <x:row r="8" ht="64" customHeight="1">
      <x:c r="A8" s="21" t="str">
        <x:v>R-C005</x:v>
      </x:c>
      <x:c r="B8" s="21" t="str">
        <x:v>caution</x:v>
      </x:c>
      <x:c r="C8" s="21" t="str">
        <x:v>ingredient_claim</x:v>
      </x:c>
      <x:c r="D8" s="21" t="str">
        <x:v>natural</x:v>
      </x:c>
      <x:c r="E8" s="21" t="str">
        <x:v>natural</x:v>
      </x:c>
      <x:c r="F8" s="21" t="str">
        <x:v>semantic</x:v>
      </x:c>
      <x:c r="G8" s="21" t="str">
        <x:v>review</x:v>
      </x:c>
      <x:c r="H8" s="21" t="str">
        <x:v>natural含义宽泛且未定义。</x:v>
      </x:c>
      <x:c r="I8" s="21" t="str">
        <x:v>name the verified ingredient</x:v>
      </x:c>
      <x:c r="J8" s="21" t="str">
        <x:v>mencionar el ingrediente verificado</x:v>
      </x:c>
      <x:c r="K8" s="21" t="str">
        <x:v>defined_criteria_and_substantiation</x:v>
      </x:c>
      <x:c r="L8" s="21" t="str">
        <x:v>data/products/product_facts.json</x:v>
      </x:c>
      <x:c r="M8" s="21" t="str">
        <x:v>2026-07-28</x:v>
      </x:c>
      <x:c r="N8" s="21" t="str">
        <x:v>1.0</x:v>
      </x:c>
    </x:row>
    <x:row r="9" ht="64" customHeight="1">
      <x:c r="A9" s="21" t="str">
        <x:v>R-C006</x:v>
      </x:c>
      <x:c r="B9" s="21" t="str">
        <x:v>caution</x:v>
      </x:c>
      <x:c r="C9" s="21" t="str">
        <x:v>ingredient_claim</x:v>
      </x:c>
      <x:c r="D9" s="21" t="str">
        <x:v>organic</x:v>
      </x:c>
      <x:c r="E9" s="21" t="str">
        <x:v>orgánico</x:v>
      </x:c>
      <x:c r="F9" s="21" t="str">
        <x:v>semantic</x:v>
      </x:c>
      <x:c r="G9" s="21" t="str">
        <x:v>review</x:v>
      </x:c>
      <x:c r="H9" s="21" t="str">
        <x:v>没有有机认证。</x:v>
      </x:c>
      <x:c r="I9" s="21" t="str">
        <x:v>name the verified ingredient</x:v>
      </x:c>
      <x:c r="J9" s="21" t="str">
        <x:v>mencionar el ingrediente verificado</x:v>
      </x:c>
      <x:c r="K9" s="21" t="str">
        <x:v>recognized_organic_certification</x:v>
      </x:c>
      <x:c r="L9" s="21" t="str">
        <x:v>data/products/product_facts.json</x:v>
      </x:c>
      <x:c r="M9" s="21" t="str">
        <x:v>2026-07-28</x:v>
      </x:c>
      <x:c r="N9" s="21" t="str">
        <x:v>1.0</x:v>
      </x:c>
    </x:row>
    <x:row r="10" ht="64" customHeight="1">
      <x:c r="A10" s="21" t="str">
        <x:v>R-C007</x:v>
      </x:c>
      <x:c r="B10" s="21" t="str">
        <x:v>caution</x:v>
      </x:c>
      <x:c r="C10" s="21" t="str">
        <x:v>positioning_claim</x:v>
      </x:c>
      <x:c r="D10" s="21" t="str">
        <x:v>clean beauty / clean formula</x:v>
      </x:c>
      <x:c r="E10" s="21" t="str">
        <x:v>belleza limpia / fórmula limpia</x:v>
      </x:c>
      <x:c r="F10" s="21" t="str">
        <x:v>semantic</x:v>
      </x:c>
      <x:c r="G10" s="21" t="str">
        <x:v>review</x:v>
      </x:c>
      <x:c r="H10" s="21" t="str">
        <x:v>clean没有项目内定义，容易暗示安全优越性。</x:v>
      </x:c>
      <x:c r="I10" s="21" t="str">
        <x:v>clear ingredient information</x:v>
      </x:c>
      <x:c r="J10" s="21" t="str">
        <x:v>información clara sobre los ingredientes</x:v>
      </x:c>
      <x:c r="K10" s="21" t="str">
        <x:v>defined_internal_standard_and_review</x:v>
      </x:c>
      <x:c r="L10" s="21" t="str">
        <x:v>data/brand/brand_voice_guide.md</x:v>
      </x:c>
      <x:c r="M10" s="21" t="str">
        <x:v>2026-07-28</x:v>
      </x:c>
      <x:c r="N10" s="21" t="str">
        <x:v>1.0</x:v>
      </x:c>
    </x:row>
    <x:row r="11" ht="64" customHeight="1">
      <x:c r="A11" s="21" t="str">
        <x:v>R-C008</x:v>
      </x:c>
      <x:c r="B11" s="21" t="str">
        <x:v>caution</x:v>
      </x:c>
      <x:c r="C11" s="21" t="str">
        <x:v>performance_claim</x:v>
      </x:c>
      <x:c r="D11" s="21" t="str">
        <x:v>non-comedogenic</x:v>
      </x:c>
      <x:c r="E11" s="21" t="str">
        <x:v>no comedogénico</x:v>
      </x:c>
      <x:c r="F11" s="21" t="str">
        <x:v>exact_and_semantic</x:v>
      </x:c>
      <x:c r="G11" s="21" t="str">
        <x:v>review</x:v>
      </x:c>
      <x:c r="H11" s="21" t="str">
        <x:v>没有致痘性测试。</x:v>
      </x:c>
      <x:c r="I11" s="21" t="str">
        <x:v>lightweight texture</x:v>
      </x:c>
      <x:c r="J11" s="21" t="str">
        <x:v>textura ligera</x:v>
      </x:c>
      <x:c r="K11" s="21" t="str">
        <x:v>non_comedogenic_test</x:v>
      </x:c>
      <x:c r="L11" s="21" t="str">
        <x:v>data/products/product_facts.json</x:v>
      </x:c>
      <x:c r="M11" s="21" t="str">
        <x:v>2026-07-28</x:v>
      </x:c>
      <x:c r="N11" s="21" t="str">
        <x:v>1.0</x:v>
      </x:c>
    </x:row>
    <x:row r="12" ht="64" customHeight="1">
      <x:c r="A12" s="21" t="str">
        <x:v>R-C009</x:v>
      </x:c>
      <x:c r="B12" s="21" t="str">
        <x:v>caution</x:v>
      </x:c>
      <x:c r="C12" s="21" t="str">
        <x:v>testing_claim</x:v>
      </x:c>
      <x:c r="D12" s="21" t="str">
        <x:v>dermatologist tested</x:v>
      </x:c>
      <x:c r="E12" s="21" t="str">
        <x:v>probado dermatológicamente</x:v>
      </x:c>
      <x:c r="F12" s="21" t="str">
        <x:v>semantic</x:v>
      </x:c>
      <x:c r="G12" s="21" t="str">
        <x:v>review</x:v>
      </x:c>
      <x:c r="H12" s="21" t="str">
        <x:v>没有皮肤科测试资料。</x:v>
      </x:c>
      <x:c r="I12" s="21" t="str">
        <x:v>project product specification</x:v>
      </x:c>
      <x:c r="J12" s="21" t="str">
        <x:v>ficha de producto del proyecto</x:v>
      </x:c>
      <x:c r="K12" s="21" t="str">
        <x:v>documented_dermatological_test</x:v>
      </x:c>
      <x:c r="L12" s="21" t="str">
        <x:v>data/products/product_facts.json</x:v>
      </x:c>
      <x:c r="M12" s="21" t="str">
        <x:v>2026-07-28</x:v>
      </x:c>
      <x:c r="N12" s="21" t="str">
        <x:v>1.0</x:v>
      </x:c>
    </x:row>
    <x:row r="13" ht="64" customHeight="1">
      <x:c r="A13" s="21" t="str">
        <x:v>R-C010</x:v>
      </x:c>
      <x:c r="B13" s="21" t="str">
        <x:v>caution</x:v>
      </x:c>
      <x:c r="C13" s="21" t="str">
        <x:v>environmental_claim</x:v>
      </x:c>
      <x:c r="D13" s="21" t="str">
        <x:v>sustainable</x:v>
      </x:c>
      <x:c r="E13" s="21" t="str">
        <x:v>sostenible</x:v>
      </x:c>
      <x:c r="F13" s="21" t="str">
        <x:v>semantic</x:v>
      </x:c>
      <x:c r="G13" s="21" t="str">
        <x:v>review</x:v>
      </x:c>
      <x:c r="H13" s="21" t="str">
        <x:v>宽泛环境利益需要具体证据和范围。</x:v>
      </x:c>
      <x:c r="I13" s="21" t="str">
        <x:v>state the verified material only</x:v>
      </x:c>
      <x:c r="J13" s="21" t="str">
        <x:v>indicar únicamente el material verificado</x:v>
      </x:c>
      <x:c r="K13" s="21" t="str">
        <x:v>specific_environmental_evidence</x:v>
      </x:c>
      <x:c r="L13" s="21" t="str">
        <x:v>https://www.ftc.gov/business-guidance/resources/environmental-claims-summary-green-guides</x:v>
      </x:c>
      <x:c r="M13" s="21" t="str">
        <x:v>2026-07-28</x:v>
      </x:c>
      <x:c r="N13" s="21" t="str">
        <x:v>1.0</x:v>
      </x:c>
    </x:row>
    <x:row r="14" ht="64" customHeight="1">
      <x:c r="A14" s="21" t="str">
        <x:v>R-C011</x:v>
      </x:c>
      <x:c r="B14" s="21" t="str">
        <x:v>caution</x:v>
      </x:c>
      <x:c r="C14" s="21" t="str">
        <x:v>environmental_claim</x:v>
      </x:c>
      <x:c r="D14" s="21" t="str">
        <x:v>recyclable</x:v>
      </x:c>
      <x:c r="E14" s="21" t="str">
        <x:v>reciclable</x:v>
      </x:c>
      <x:c r="F14" s="21" t="str">
        <x:v>semantic</x:v>
      </x:c>
      <x:c r="G14" s="21" t="str">
        <x:v>review</x:v>
      </x:c>
      <x:c r="H14" s="21" t="str">
        <x:v>必须保留当地设施可用性限定。</x:v>
      </x:c>
      <x:c r="I14" s="21" t="str">
        <x:v>recyclability depends on local facilities</x:v>
      </x:c>
      <x:c r="J14" s="21" t="str">
        <x:v>la posibilidad de reciclaje depende de las instalaciones locales</x:v>
      </x:c>
      <x:c r="K14" s="21" t="str">
        <x:v>material_and_market_access_evidence</x:v>
      </x:c>
      <x:c r="L14" s="21" t="str">
        <x:v>https://www.ftc.gov/business-guidance/resources/environmental-claims-summary-green-guides</x:v>
      </x:c>
      <x:c r="M14" s="21" t="str">
        <x:v>2026-07-28</x:v>
      </x:c>
      <x:c r="N14" s="21" t="str">
        <x:v>1.0</x:v>
      </x:c>
    </x:row>
    <x:row r="15" ht="64" customHeight="1">
      <x:c r="A15" s="21" t="str">
        <x:v>R-C012</x:v>
      </x:c>
      <x:c r="B15" s="21" t="str">
        <x:v>caution</x:v>
      </x:c>
      <x:c r="C15" s="21" t="str">
        <x:v>duration_claim</x:v>
      </x:c>
      <x:c r="D15" s="21" t="str">
        <x:v>long-lasting hydration</x:v>
      </x:c>
      <x:c r="E15" s="21" t="str">
        <x:v>hidratación duradera</x:v>
      </x:c>
      <x:c r="F15" s="21" t="str">
        <x:v>semantic</x:v>
      </x:c>
      <x:c r="G15" s="21" t="str">
        <x:v>review</x:v>
      </x:c>
      <x:c r="H15" s="21" t="str">
        <x:v>没有持续时间测试。</x:v>
      </x:c>
      <x:c r="I15" s="21" t="str">
        <x:v>helps skin feel hydrated</x:v>
      </x:c>
      <x:c r="J15" s="21" t="str">
        <x:v>ayuda a que la piel se sienta hidratada</x:v>
      </x:c>
      <x:c r="K15" s="21" t="str">
        <x:v>time_bound_hydration_study</x:v>
      </x:c>
      <x:c r="L15" s="21" t="str">
        <x:v>data/products/product_facts.json</x:v>
      </x:c>
      <x:c r="M15" s="21" t="str">
        <x:v>2026-07-28</x:v>
      </x:c>
      <x:c r="N15" s="21" t="str">
        <x:v>1.0</x:v>
      </x:c>
    </x:row>
    <x:row r="16" ht="64" customHeight="1">
      <x:c r="A16" s="21" t="str">
        <x:v>R-C013</x:v>
      </x:c>
      <x:c r="B16" s="21" t="str">
        <x:v>caution</x:v>
      </x:c>
      <x:c r="C16" s="21" t="str">
        <x:v>duration_claim</x:v>
      </x:c>
      <x:c r="D16" s="21" t="str">
        <x:v>all-day hydration</x:v>
      </x:c>
      <x:c r="E16" s="21" t="str">
        <x:v>hidratación durante todo el día</x:v>
      </x:c>
      <x:c r="F16" s="21" t="str">
        <x:v>semantic</x:v>
      </x:c>
      <x:c r="G16" s="21" t="str">
        <x:v>review</x:v>
      </x:c>
      <x:c r="H16" s="21" t="str">
        <x:v>没有全天保湿测试。</x:v>
      </x:c>
      <x:c r="I16" s="21" t="str">
        <x:v>helps skin feel hydrated</x:v>
      </x:c>
      <x:c r="J16" s="21" t="str">
        <x:v>ayuda a que la piel se sienta hidratada</x:v>
      </x:c>
      <x:c r="K16" s="21" t="str">
        <x:v>time_bound_hydration_study</x:v>
      </x:c>
      <x:c r="L16" s="21" t="str">
        <x:v>data/products/product_facts.json</x:v>
      </x:c>
      <x:c r="M16" s="21" t="str">
        <x:v>2026-07-28</x:v>
      </x:c>
      <x:c r="N16" s="21" t="str">
        <x:v>1.0</x:v>
      </x:c>
    </x:row>
    <x:row r="17" ht="64" customHeight="1">
      <x:c r="A17" s="21" t="str">
        <x:v>R-C014</x:v>
      </x:c>
      <x:c r="B17" s="21" t="str">
        <x:v>caution</x:v>
      </x:c>
      <x:c r="C17" s="21" t="str">
        <x:v>ph_claim</x:v>
      </x:c>
      <x:c r="D17" s="21" t="str">
        <x:v>pH-balanced</x:v>
      </x:c>
      <x:c r="E17" s="21" t="str">
        <x:v>pH equilibrado</x:v>
      </x:c>
      <x:c r="F17" s="21" t="str">
        <x:v>semantic</x:v>
      </x:c>
      <x:c r="G17" s="21" t="str">
        <x:v>review</x:v>
      </x:c>
      <x:c r="H17" s="21" t="str">
        <x:v>只有洁面乳具有pH标称值及公差，且不能扩大为适合所有人。</x:v>
      </x:c>
      <x:c r="I17" s="21" t="str">
        <x:v>pH 5.5 ± 0.5</x:v>
      </x:c>
      <x:c r="J17" s="21" t="str">
        <x:v>pH 5.5 ± 0.5</x:v>
      </x:c>
      <x:c r="K17" s="21" t="str">
        <x:v>sku_specific_ph_fact</x:v>
      </x:c>
      <x:c r="L17" s="21" t="str">
        <x:v>data/products/product_facts.json</x:v>
      </x:c>
      <x:c r="M17" s="21" t="str">
        <x:v>2026-07-28</x:v>
      </x:c>
      <x:c r="N17" s="21" t="str">
        <x:v>1.0</x:v>
      </x:c>
    </x:row>
    <x:row r="18" ht="64" customHeight="1">
      <x:c r="A18" s="21" t="str">
        <x:v>R-C015</x:v>
      </x:c>
      <x:c r="B18" s="21" t="str">
        <x:v>caution</x:v>
      </x:c>
      <x:c r="C18" s="21" t="str">
        <x:v>barrier_claim</x:v>
      </x:c>
      <x:c r="D18" s="21" t="str">
        <x:v>supports the skin barrier</x:v>
      </x:c>
      <x:c r="E18" s="21" t="str">
        <x:v>ayuda a cuidar la barrera cutánea</x:v>
      </x:c>
      <x:c r="F18" s="21" t="str">
        <x:v>semantic</x:v>
      </x:c>
      <x:c r="G18" s="21" t="str">
        <x:v>review</x:v>
      </x:c>
      <x:c r="H18" s="21" t="str">
        <x:v>当前只有基础保湿感受，没有屏障专项证据。</x:v>
      </x:c>
      <x:c r="I18" s="21" t="str">
        <x:v>helps skin feel moisturized</x:v>
      </x:c>
      <x:c r="J18" s="21" t="str">
        <x:v>ayuda a que la piel se sienta hidratada</x:v>
      </x:c>
      <x:c r="K18" s="21" t="str">
        <x:v>barrier_specific_efficacy_evidence</x:v>
      </x:c>
      <x:c r="L18" s="21" t="str">
        <x:v>data/products/product_facts.json</x:v>
      </x:c>
      <x:c r="M18" s="21" t="str">
        <x:v>2026-07-28</x:v>
      </x:c>
      <x:c r="N18" s="21" t="str">
        <x:v>1.0</x:v>
      </x:c>
    </x:row>
    <x:row r="19" ht="64" customHeight="1">
      <x:c r="A19" s="22" t="str">
        <x:v>R-C016</x:v>
      </x:c>
      <x:c r="B19" s="22" t="str">
        <x:v>caution</x:v>
      </x:c>
      <x:c r="C19" s="22" t="str">
        <x:v>testing_claim</x:v>
      </x:c>
      <x:c r="D19" s="22" t="str">
        <x:v>clinically tested</x:v>
      </x:c>
      <x:c r="E19" s="22" t="str">
        <x:v>probado clínicamente</x:v>
      </x:c>
      <x:c r="F19" s="22" t="str">
        <x:v>semantic</x:v>
      </x:c>
      <x:c r="G19" s="22" t="str">
        <x:v>review</x:v>
      </x:c>
      <x:c r="H19" s="22" t="str">
        <x:v>当前没有临床测试文件。</x:v>
      </x:c>
      <x:c r="I19" s="22" t="str">
        <x:v>omit the testing claim</x:v>
      </x:c>
      <x:c r="J19" s="22" t="str">
        <x:v>omitir la afirmación de prueba</x:v>
      </x:c>
      <x:c r="K19" s="22" t="str">
        <x:v>clinical_test_report_and_claim_review</x:v>
      </x:c>
      <x:c r="L19" s="22" t="str">
        <x:v>data/products/product_facts.json</x:v>
      </x:c>
      <x:c r="M19" s="22" t="str">
        <x:v>2026-07-28</x:v>
      </x:c>
      <x:c r="N19" s="22" t="str">
        <x:v>1.0</x:v>
      </x:c>
    </x:row>
  </x:sheetData>
  <x:mergeCells>
    <x:mergeCell ref="A1:N1"/>
    <x:mergeCell ref="A2:N2"/>
  </x:mergeCells>
  <x:conditionalFormatting sqref="A4:N19">
    <x:cfRule type="containsText" dxfId="1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f65208cc10fb41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39" hidden="0" customWidth="1"/>
    <x:col min="4" max="4" width="72" hidden="0" customWidth="1"/>
    <x:col min="5" max="5" width="16" hidden="0" customWidth="1"/>
    <x:col min="6" max="6" width="49" hidden="0" customWidth="1"/>
  </x:cols>
  <x:sheetData>
    <x:row r="1" ht="30" customHeight="1">
      <x:c r="A1" s="3" t="str">
        <x:v>术语与风险规则来源</x:v>
      </x:c>
      <x:c r="B1" s="3"/>
      <x:c r="C1" s="3"/>
      <x:c r="D1" s="3"/>
      <x:c r="E1" s="3"/>
      <x:c r="F1" s="3"/>
    </x:row>
    <x:row r="2" ht="38" customHeight="1">
      <x:c r="A2" s="7" t="str">
        <x:v>外部页面仅用于术语与风险边界参考；项目模拟商品事实仍以LocalizeFlow内部事实库为准。</x:v>
      </x:c>
      <x:c r="B2" s="7"/>
      <x:c r="C2" s="7"/>
      <x:c r="D2" s="7"/>
      <x:c r="E2" s="7"/>
      <x:c r="F2" s="7"/>
    </x:row>
    <x:row r="3" ht="34" customHeight="1">
      <x:c r="A3" s="12" t="str">
        <x:v>source_id</x:v>
      </x:c>
      <x:c r="B3" s="12" t="str">
        <x:v>authority_or_file</x:v>
      </x:c>
      <x:c r="C3" s="12" t="str">
        <x:v>scope</x:v>
      </x:c>
      <x:c r="D3" s="12" t="str">
        <x:v>url_or_path</x:v>
      </x:c>
      <x:c r="E3" s="12" t="str">
        <x:v>verified_date</x:v>
      </x:c>
      <x:c r="F3" s="12" t="str">
        <x:v>usage_note</x:v>
      </x:c>
    </x:row>
    <x:row r="4" ht="64" customHeight="1">
      <x:c r="A4" s="20" t="str">
        <x:v>SRC-TERM-001</x:v>
      </x:c>
      <x:c r="B4" s="20" t="str">
        <x:v>RAE / DLE 23.8</x:v>
      </x:c>
      <x:c r="C4" s="20" t="str">
        <x:v>西班牙语词形：sérum、suero</x:v>
      </x:c>
      <x:c r="D4" s="20" t="str">
        <x:v>https://dle.rae.es/docs/Novedades_DLE_23.8-Seleccion.pdf</x:v>
      </x:c>
      <x:c r="E4" s="23" t="n">
        <x:v>46231</x:v>
      </x:c>
      <x:c r="F4" s="20" t="str">
        <x:v>支持术语选择，不代表墨西哥市场偏好调查。</x:v>
      </x:c>
    </x:row>
    <x:row r="5" ht="64" customHeight="1">
      <x:c r="A5" s="21" t="str">
        <x:v>SRC-RISK-001</x:v>
      </x:c>
      <x:c r="B5" s="21" t="str">
        <x:v>U.S. FDA</x:v>
      </x:c>
      <x:c r="C5" s="21" t="str">
        <x:v>化妆品标签宣称与药品宣称边界</x:v>
      </x:c>
      <x:c r="D5" s="21" t="str">
        <x:v>https://www.fda.gov/cosmetics/cosmetics-labeling/cosmetics-labeling-claims</x:v>
      </x:c>
      <x:c r="E5" s="24" t="n">
        <x:v>46231</x:v>
      </x:c>
      <x:c r="F5" s="21" t="str">
        <x:v>用于识别治疗、疾病和结构功能类高风险表达。</x:v>
      </x:c>
    </x:row>
    <x:row r="6" ht="64" customHeight="1">
      <x:c r="A6" s="21" t="str">
        <x:v>SRC-RISK-002</x:v>
      </x:c>
      <x:c r="B6" s="21" t="str">
        <x:v>U.S. FDA</x:v>
      </x:c>
      <x:c r="C6" s="21" t="str">
        <x:v>FDA Approved等标签表述</x:v>
      </x:c>
      <x:c r="D6" s="21" t="str">
        <x:v>https://www.fda.gov/cosmetics/cosmetics-labeling/cosmetics-labeling-regulations</x:v>
      </x:c>
      <x:c r="E6" s="24" t="n">
        <x:v>46231</x:v>
      </x:c>
      <x:c r="F6" s="21" t="str">
        <x:v>用于阻断虚假监管批准表述。</x:v>
      </x:c>
    </x:row>
    <x:row r="7" ht="64" customHeight="1">
      <x:c r="A7" s="21" t="str">
        <x:v>SRC-RISK-003</x:v>
      </x:c>
      <x:c r="B7" s="21" t="str">
        <x:v>U.S. FTC</x:v>
      </x:c>
      <x:c r="C7" s="21" t="str">
        <x:v>环境、无毒和可回收宣称</x:v>
      </x:c>
      <x:c r="D7" s="21" t="str">
        <x:v>https://www.ftc.gov/business-guidance/resources/environmental-claims-summary-green-guides</x:v>
      </x:c>
      <x:c r="E7" s="24" t="n">
        <x:v>46231</x:v>
      </x:c>
      <x:c r="F7" s="21" t="str">
        <x:v>用于限制宽泛环保与安全宣称。</x:v>
      </x:c>
    </x:row>
    <x:row r="8" ht="64" customHeight="1">
      <x:c r="A8" s="21" t="str">
        <x:v>SRC-INTERNAL-001</x:v>
      </x:c>
      <x:c r="B8" s="21" t="str">
        <x:v>LocalizeFlow fact database</x:v>
      </x:c>
      <x:c r="C8" s="21" t="str">
        <x:v>商品类型、成分、规格、功效和风险</x:v>
      </x:c>
      <x:c r="D8" s="21" t="str">
        <x:v>data/products/product_facts.json</x:v>
      </x:c>
      <x:c r="E8" s="24" t="n">
        <x:v>46231</x:v>
      </x:c>
      <x:c r="F8" s="21" t="str">
        <x:v>项目模拟事实来源。</x:v>
      </x:c>
    </x:row>
    <x:row r="9" ht="64" customHeight="1">
      <x:c r="A9" s="22" t="str">
        <x:v>SRC-INTERNAL-002</x:v>
      </x:c>
      <x:c r="B9" s="22" t="str">
        <x:v>Mirevane brand voice guide</x:v>
      </x:c>
      <x:c r="C9" s="22" t="str">
        <x:v>品牌语气、双市场语言和CTA</x:v>
      </x:c>
      <x:c r="D9" s="22" t="str">
        <x:v>data/brand/brand_voice_guide.md</x:v>
      </x:c>
      <x:c r="E9" s="25" t="n">
        <x:v>46231</x:v>
      </x:c>
      <x:c r="F9" s="22" t="str">
        <x:v>项目内部品牌规则。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f7a59e792d248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2" t="str">
        <x:v>阶段4｜术语库完整性检查</x:v>
      </x:c>
      <x:c r="B1" s="2"/>
      <x:c r="C1" s="2"/>
      <x:c r="D1" s="2"/>
    </x:row>
    <x:row r="2" ht="34" customHeight="1">
      <x:c r="A2" s="5" t="str">
        <x:v>结果由公式引用各数据页；PASS不代表法律或平台审核通过。</x:v>
      </x:c>
      <x:c r="B2" s="5"/>
      <x:c r="C2" s="5"/>
      <x:c r="D2" s="5"/>
    </x:row>
    <x:row r="3" ht="28" customHeight="1">
      <x:c r="A3" s="27" t="str">
        <x:v>check</x:v>
      </x:c>
      <x:c r="B3" s="27" t="str">
        <x:v>result</x:v>
      </x:c>
      <x:c r="C3" s="27" t="str">
        <x:v>target</x:v>
      </x:c>
      <x:c r="D3" s="27" t="str">
        <x:v>status</x:v>
      </x:c>
    </x:row>
    <x:row r="4" ht="28" customHeight="1">
      <x:c r="A4" s="29" t="str">
        <x:v>术语记录数</x:v>
      </x:c>
      <x:c r="B4" s="29" t="n">
        <x:f>COUNTA('Terminology'!A4:A43)</x:f>
        <x:v>40</x:v>
      </x:c>
      <x:c r="C4" s="29" t="n">
        <x:v>40</x:v>
      </x:c>
      <x:c r="D4" s="29" t="str">
        <x:f>IF(B4=C4,"PASS","CHECK")</x:f>
        <x:v>PASS</x:v>
      </x:c>
    </x:row>
    <x:row r="5" ht="28" customHeight="1">
      <x:c r="A5" s="30" t="str">
        <x:v>英语首选词空白数</x:v>
      </x:c>
      <x:c r="B5" s="30" t="n">
        <x:f>COUNTBLANK('Terminology'!D4:D43)</x:f>
        <x:v>0</x:v>
      </x:c>
      <x:c r="C5" s="30" t="n">
        <x:v>0</x:v>
      </x:c>
      <x:c r="D5" s="30" t="str">
        <x:f>IF(B5=C5,"PASS","CHECK")</x:f>
        <x:v>PASS</x:v>
      </x:c>
    </x:row>
    <x:row r="6" ht="28" customHeight="1">
      <x:c r="A6" s="30" t="str">
        <x:v>西班牙语首选词空白数</x:v>
      </x:c>
      <x:c r="B6" s="30" t="n">
        <x:f>COUNTBLANK('Terminology'!E4:E43)</x:f>
        <x:v>0</x:v>
      </x:c>
      <x:c r="C6" s="30" t="n">
        <x:v>0</x:v>
      </x:c>
      <x:c r="D6" s="30" t="str">
        <x:f>IF(B6=C6,"PASS","CHECK")</x:f>
        <x:v>PASS</x:v>
      </x:c>
    </x:row>
    <x:row r="7" ht="28" customHeight="1">
      <x:c r="A7" s="30" t="str">
        <x:v>语调模式数</x:v>
      </x:c>
      <x:c r="B7" s="30" t="n">
        <x:f>COUNTA('Tone Patterns'!A4:A13)</x:f>
        <x:v>10</x:v>
      </x:c>
      <x:c r="C7" s="30" t="n">
        <x:v>10</x:v>
      </x:c>
      <x:c r="D7" s="30" t="str">
        <x:f>IF(B7=C7,"PASS","CHECK")</x:f>
        <x:v>PASS</x:v>
      </x:c>
    </x:row>
    <x:row r="8" ht="28" customHeight="1">
      <x:c r="A8" s="30" t="str">
        <x:v>禁用规则数</x:v>
      </x:c>
      <x:c r="B8" s="30" t="n">
        <x:f>COUNTA('Prohibited Terms'!A4:A27)</x:f>
        <x:v>24</x:v>
      </x:c>
      <x:c r="C8" s="30" t="n">
        <x:v>24</x:v>
      </x:c>
      <x:c r="D8" s="30" t="str">
        <x:f>IF(B8=C8,"PASS","CHECK")</x:f>
        <x:v>PASS</x:v>
      </x:c>
    </x:row>
    <x:row r="9" ht="28" customHeight="1">
      <x:c r="A9" s="30" t="str">
        <x:v>谨慎规则数</x:v>
      </x:c>
      <x:c r="B9" s="30" t="n">
        <x:f>COUNTA('Caution Terms'!A4:A19)</x:f>
        <x:v>16</x:v>
      </x:c>
      <x:c r="C9" s="30" t="n">
        <x:v>16</x:v>
      </x:c>
      <x:c r="D9" s="30" t="str">
        <x:f>IF(B9=C9,"PASS","CHECK")</x:f>
        <x:v>PASS</x:v>
      </x:c>
    </x:row>
    <x:row r="10" ht="28" customHeight="1">
      <x:c r="A10" s="30" t="str">
        <x:v>来源记录数</x:v>
      </x:c>
      <x:c r="B10" s="30" t="n">
        <x:f>COUNTA('Source Notes'!A4:A9)</x:f>
        <x:v>6</x:v>
      </x:c>
      <x:c r="C10" s="30" t="n">
        <x:v>6</x:v>
      </x:c>
      <x:c r="D10" s="30" t="str">
        <x:f>IF(B10=C10,"PASS","CHECK")</x:f>
        <x:v>PASS</x:v>
      </x:c>
    </x:row>
    <x:row r="11" ht="28" customHeight="1">
      <x:c r="A11" s="31" t="str">
        <x:v>sérum首选词记录数</x:v>
      </x:c>
      <x:c r="B11" s="31" t="n">
        <x:f>COUNTIF('Terminology'!E4:E43,"sérum hidratante")</x:f>
        <x:v>1</x:v>
      </x:c>
      <x:c r="C11" s="31" t="n">
        <x:v>1</x:v>
      </x:c>
      <x:c r="D11" s="31" t="str">
        <x:f>IF(B11=C11,"PASS","CHECK")</x:f>
        <x:v>PASS</x:v>
      </x:c>
    </x:row>
    <x:row r="13" ht="38" customHeight="1">
      <x:c r="A13" s="34" t="str">
        <x:v>颜色说明：红色=禁止并阻断；黄色=谨慎并送人工复核；绿色=完整性检查通过。</x:v>
      </x:c>
      <x:c r="B13" s="34"/>
      <x:c r="C13" s="34"/>
      <x:c r="D13" s="34"/>
    </x:row>
  </x:sheetData>
  <x:mergeCells>
    <x:mergeCell ref="A1:D1"/>
    <x:mergeCell ref="A2:D2"/>
    <x:mergeCell ref="A13:D13"/>
  </x:mergeCells>
  <x:conditionalFormatting sqref="D4:D11">
    <x:cfRule type="containsText" dxfId="2" priority="1" operator="containsText" text="PASS"/>
    <x:cfRule type="containsText" dxfId="3" priority="2" operator="containsText" text="CHECK"/>
  </x:conditionalFormatting>
  <x:pageMargins left="0.7" right="0.7" top="0.75" bottom="0.75" header="0.3" footer="0.3"/>
</x:worksheet>
</file>