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34bfdd1ea74c2a" /></Relationships>
</file>

<file path=xl/workbook.xml><?xml version="1.0" encoding="utf-8"?>
<x:workbook xmlns:x="http://schemas.openxmlformats.org/spreadsheetml/2006/main">
  <x:sheets>
    <x:sheet xmlns:r="http://schemas.openxmlformats.org/officeDocument/2006/relationships" name="Start Here" sheetId="1" r:id="R1afd31856a8a4f96"/>
    <x:sheet xmlns:r="http://schemas.openxmlformats.org/officeDocument/2006/relationships" name="Dashboard" sheetId="2" r:id="R6b810fddf6f64b63"/>
    <x:sheet xmlns:r="http://schemas.openxmlformats.org/officeDocument/2006/relationships" name="Blind Review" sheetId="3" r:id="R1be1a1073f264ae9"/>
    <x:sheet xmlns:r="http://schemas.openxmlformats.org/officeDocument/2006/relationships" name="Pair Progress" sheetId="4" r:id="R63d6dfaef3ad4906"/>
    <x:sheet xmlns:r="http://schemas.openxmlformats.org/officeDocument/2006/relationships" name="Failure Log" sheetId="5" r:id="R2ae37b8dabb74a03"/>
    <x:sheet xmlns:r="http://schemas.openxmlformats.org/officeDocument/2006/relationships" name="Rubric" sheetId="6" r:id="R4f2df7896c0f4f52"/>
    <x:sheet xmlns:r="http://schemas.openxmlformats.org/officeDocument/2006/relationships" name="Fact Reference" sheetId="7" r:id="R44db713a402a407b"/>
    <x:sheet xmlns:r="http://schemas.openxmlformats.org/officeDocument/2006/relationships" name="Coverage QA" sheetId="8" r:id="Rc3addb0dfef640e6"/>
    <x:sheet xmlns:r="http://schemas.openxmlformats.org/officeDocument/2006/relationships" name="Results Dashboard" sheetId="9" r:id="R2aa068ec04f74d25"/>
    <x:sheet xmlns:r="http://schemas.openxmlformats.org/officeDocument/2006/relationships" name="Results Detail" sheetId="10" r:id="R17f2ca054a2c4745"/>
    <x:sheet xmlns:r="http://schemas.openxmlformats.org/officeDocument/2006/relationships" name="Revealed Data" sheetId="11" r:id="Ra73259606f164502"/>
    <x:sheet xmlns:r="http://schemas.openxmlformats.org/officeDocument/2006/relationships" name="Failure Cases" sheetId="12" r:id="Rf3af3656ee6c49d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0"/>
    <x:numFmt numFmtId="202" formatCode="yyyy-mm-dd"/>
    <x:numFmt numFmtId="203" formatCode="0.0%"/>
    <x:numFmt numFmtId="204" formatCode="0.0 &quot;pp&quot;"/>
    <x:numFmt numFmtId="205" formatCode="0"/>
  </x:numFmts>
  <x:fonts count="12">
    <x:font>
      <x:sz val="11"/>
      <x:name val="Carlito"/>
    </x:font>
    <x:font>
      <x:b/>
      <x:sz val="18"/>
      <x:color rgb="FFFFFFFF"/>
      <x:name val="Carlito"/>
    </x:font>
    <x:font>
      <x:b/>
      <x:sz val="11"/>
      <x:color rgb="FF7A5200"/>
      <x:name val="Carlito"/>
    </x:font>
    <x:font>
      <x:b/>
      <x:sz val="11"/>
      <x:color rgb="FFFFFFFF"/>
      <x:name val="Carlito"/>
    </x:font>
    <x:font>
      <x:b/>
      <x:sz val="11"/>
      <x:color rgb="FF173F38"/>
      <x:name val="Carlito"/>
    </x:font>
    <x:font>
      <x:b/>
      <x:sz val="16"/>
      <x:color rgb="FF173F38"/>
      <x:name val="Carlito"/>
    </x:font>
    <x:font>
      <x:b/>
      <x:sz val="20"/>
      <x:color rgb="FFFFFFFF"/>
      <x:name val="Carlito"/>
    </x:font>
    <x:font>
      <x:sz val="10"/>
      <x:color rgb="FF1F2937"/>
      <x:name val="Carlito"/>
    </x:font>
    <x:font>
      <x:sz val="11"/>
      <x:color rgb="FF1F2937"/>
      <x:name val="Carlito"/>
    </x:font>
    <x:font>
      <x:b/>
      <x:sz val="20"/>
      <x:color rgb="FF133F36"/>
      <x:name val="Carlito"/>
    </x:font>
    <x:font>
      <x:b/>
      <x:sz val="10"/>
      <x:color rgb="FFFFFFFF"/>
      <x:name val="Carlito"/>
    </x:font>
    <x:font>
      <x:i/>
      <x:sz val="11"/>
      <x:color rgb="FF7A5200"/>
      <x:name val="Carlito"/>
    </x:font>
  </x:fonts>
  <x:fills count="13">
    <x:fill>
      <x:patternFill patternType="none"/>
    </x:fill>
    <x:fill>
      <x:patternFill patternType="gray125"/>
    </x:fill>
    <x:fill>
      <x:patternFill patternType="solid">
        <x:fgColor rgb="FF2F6F64"/>
      </x:patternFill>
    </x:fill>
    <x:fill>
      <x:patternFill patternType="solid">
        <x:fgColor rgb="FFFFF3CD"/>
      </x:patternFill>
    </x:fill>
    <x:fill>
      <x:patternFill patternType="solid">
        <x:fgColor rgb="FF173F38"/>
      </x:patternFill>
    </x:fill>
    <x:fill>
      <x:patternFill patternType="solid">
        <x:fgColor rgb="FFDDF3E5"/>
      </x:patternFill>
    </x:fill>
    <x:fill>
      <x:patternFill patternType="solid">
        <x:fgColor rgb="FFE8ECEB"/>
      </x:patternFill>
    </x:fill>
    <x:fill>
      <x:patternFill patternType="solid">
        <x:fgColor rgb="FF2F766D"/>
      </x:patternFill>
    </x:fill>
    <x:fill>
      <x:patternFill patternType="solid">
        <x:fgColor rgb="FFFFF2CC"/>
      </x:patternFill>
    </x:fill>
    <x:fill>
      <x:patternFill patternType="solid">
        <x:fgColor rgb="FF133F36"/>
      </x:patternFill>
    </x:fill>
    <x:fill>
      <x:patternFill patternType="solid">
        <x:fgColor rgb="FFDDF3E6"/>
      </x:patternFill>
    </x:fill>
    <x:fill>
      <x:patternFill patternType="solid">
        <x:fgColor rgb="FFEEF2F1"/>
      </x:patternFill>
    </x:fill>
    <x:fill>
      <x:patternFill patternType="solid">
        <x:fgColor rgb="FFFCE8E6"/>
      </x:patternFill>
    </x:fill>
  </x:fills>
  <x:borders count="20">
    <x:border/>
    <x:border>
      <x:right style="thin">
        <x:color rgb="FFA7B8B3"/>
      </x:right>
    </x:border>
    <x:border>
      <x:left style="thin">
        <x:color rgb="FFA7B8B3"/>
      </x:left>
    </x:border>
    <x:border>
      <x:right style="thin">
        <x:color rgb="FFD6DEDB"/>
      </x:right>
      <x:bottom style="thin">
        <x:color rgb="FFD6DEDB"/>
      </x:bottom>
    </x:border>
    <x:border>
      <x:left style="thin">
        <x:color rgb="FFD6DEDB"/>
      </x:left>
      <x:right style="thin">
        <x:color rgb="FFD6DEDB"/>
      </x:right>
      <x:bottom style="thin">
        <x:color rgb="FFD6DEDB"/>
      </x:bottom>
    </x:border>
    <x:border>
      <x:left style="thin">
        <x:color rgb="FFD6DEDB"/>
      </x:left>
      <x:right style="thin">
        <x:color rgb="FFA7B8B3"/>
      </x:right>
      <x:bottom style="thin">
        <x:color rgb="FFD6DEDB"/>
      </x:bottom>
    </x:border>
    <x:border>
      <x:right style="thin">
        <x:color rgb="FFD6DEDB"/>
      </x:right>
      <x:top style="thin">
        <x:color rgb="FFD6DEDB"/>
      </x:top>
      <x:bottom style="thin">
        <x:color rgb="FFD6DEDB"/>
      </x:bottom>
    </x:border>
    <x:border>
      <x:left style="thin">
        <x:color rgb="FFD6DEDB"/>
      </x:left>
      <x:right style="thin">
        <x:color rgb="FFD6DEDB"/>
      </x:right>
      <x:top style="thin">
        <x:color rgb="FFD6DEDB"/>
      </x:top>
      <x:bottom style="thin">
        <x:color rgb="FFD6DEDB"/>
      </x:bottom>
    </x:border>
    <x:border>
      <x:left style="thin">
        <x:color rgb="FFD6DEDB"/>
      </x:left>
      <x:right style="thin">
        <x:color rgb="FFA7B8B3"/>
      </x:right>
      <x:top style="thin">
        <x:color rgb="FFD6DEDB"/>
      </x:top>
      <x:bottom style="thin">
        <x:color rgb="FFD6DEDB"/>
      </x:bottom>
    </x:border>
    <x:border>
      <x:right style="thin">
        <x:color rgb="FFD6DEDB"/>
      </x:right>
      <x:top style="thin">
        <x:color rgb="FFD6DEDB"/>
      </x:top>
    </x:border>
    <x:border>
      <x:left style="thin">
        <x:color rgb="FFD6DEDB"/>
      </x:left>
      <x:right style="thin">
        <x:color rgb="FFD6DEDB"/>
      </x:right>
      <x:top style="thin">
        <x:color rgb="FFD6DEDB"/>
      </x:top>
    </x:border>
    <x:border>
      <x:left style="thin">
        <x:color rgb="FFD6DEDB"/>
      </x:left>
      <x:right style="thin">
        <x:color rgb="FFA7B8B3"/>
      </x:right>
      <x:top style="thin">
        <x:color rgb="FFD6DEDB"/>
      </x:top>
    </x:border>
    <x:border>
      <x:left style="thin">
        <x:color rgb="FFA7B8B3"/>
      </x:left>
      <x:right style="thin">
        <x:color rgb="FFA7B8B3"/>
      </x:right>
    </x:border>
    <x:border>
      <x:right style="thin">
        <x:color rgb="FFD7E3DF"/>
      </x:right>
    </x:border>
    <x:border>
      <x:left style="thin">
        <x:color rgb="FFD7E3DF"/>
      </x:left>
      <x:right style="thin">
        <x:color rgb="FFD7E3DF"/>
      </x:right>
    </x:border>
    <x:border>
      <x:left style="thin">
        <x:color rgb="FFD7E3DF"/>
      </x:left>
    </x:border>
    <x:border>
      <x:left style="thin">
        <x:color rgb="FFA8C8BE"/>
      </x:left>
      <x:top style="thin">
        <x:color rgb="FFA8C8BE"/>
      </x:top>
    </x:border>
    <x:border>
      <x:right style="thin">
        <x:color rgb="FFA8C8BE"/>
      </x:right>
      <x:top style="thin">
        <x:color rgb="FFA8C8BE"/>
      </x:top>
    </x:border>
    <x:border>
      <x:left style="thin">
        <x:color rgb="FFA8C8BE"/>
      </x:left>
      <x:bottom style="thin">
        <x:color rgb="FFA8C8BE"/>
      </x:bottom>
    </x:border>
    <x:border>
      <x:right style="thin">
        <x:color rgb="FFA8C8BE"/>
      </x:right>
      <x:bottom style="thin">
        <x:color rgb="FFA8C8BE"/>
      </x:bottom>
    </x:border>
  </x:borders>
  <x:cellStyleXfs count="1">
    <x:xf numFmtId="0" fontId="0" fillId="0" borderId="0"/>
  </x:cellStyleXfs>
  <x:cellXfs count="1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5" borderId="0" xfId="0" applyNumberFormat="1" applyFont="1" applyFill="1" applyBorder="1" applyAlignment="1">
      <x:alignment horizontal="center"/>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0" borderId="4" xfId="0" applyNumberFormat="1" applyFont="1" applyFill="1" applyBorder="1"/>
    <x:xf numFmtId="0" fontId="3" fillId="4" borderId="5" xfId="0" applyNumberFormat="1" applyFont="1" applyFill="1" applyBorder="1" applyAlignment="1">
      <x:alignment horizontal="center" vertical="center" wrapText="1"/>
    </x:xf>
    <x:xf numFmtId="0" fontId="4" fillId="5" borderId="6" xfId="0" applyNumberFormat="1" applyFont="1" applyFill="1" applyBorder="1" applyAlignment="1">
      <x:alignment vertical="top"/>
    </x:xf>
    <x:xf numFmtId="0" fontId="0" fillId="0" borderId="7" xfId="0" applyNumberFormat="1" applyFont="1" applyFill="1" applyBorder="1" applyAlignment="1">
      <x:alignment vertical="top" wrapText="1"/>
    </x:xf>
    <x:xf numFmtId="0" fontId="0" fillId="0" borderId="7" xfId="0" applyNumberFormat="1" applyFont="1" applyFill="1" applyBorder="1"/>
    <x:xf numFmtId="0" fontId="4" fillId="5" borderId="7" xfId="0" applyNumberFormat="1" applyFont="1" applyFill="1" applyBorder="1"/>
    <x:xf numFmtId="0" fontId="0" fillId="0" borderId="8" xfId="0" applyNumberFormat="1" applyFont="1" applyFill="1" applyBorder="1" applyAlignment="1">
      <x:alignment vertical="top" wrapText="1"/>
    </x:xf>
    <x:xf numFmtId="0" fontId="0" fillId="0" borderId="8" xfId="0" applyNumberFormat="1" applyFont="1" applyFill="1" applyBorder="1"/>
    <x:xf numFmtId="0" fontId="0" fillId="0" borderId="6" xfId="0" applyNumberFormat="1" applyFont="1" applyFill="1" applyBorder="1"/>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5" borderId="6" xfId="0" applyNumberFormat="1" applyFont="1" applyFill="1" applyBorder="1" applyAlignment="1">
      <x:alignment horizontal="center"/>
    </x:xf>
    <x:xf numFmtId="0" fontId="4" fillId="5" borderId="9" xfId="0" applyNumberFormat="1" applyFont="1" applyFill="1" applyBorder="1" applyAlignment="1">
      <x:alignment horizontal="center"/>
    </x:xf>
    <x:xf numFmtId="0" fontId="0" fillId="0" borderId="10" xfId="0" applyNumberFormat="1" applyFont="1" applyFill="1" applyBorder="1" applyAlignment="1">
      <x:alignment vertical="top" wrapText="1"/>
    </x:xf>
    <x:xf numFmtId="0" fontId="0" fillId="0" borderId="10" xfId="0" applyNumberFormat="1" applyFont="1" applyFill="1" applyBorder="1"/>
    <x:xf numFmtId="0" fontId="0" fillId="0" borderId="11" xfId="0" applyNumberFormat="1" applyFont="1" applyFill="1" applyBorder="1"/>
    <x:xf numFmtId="0" fontId="3" fillId="4" borderId="12" xfId="0" applyNumberFormat="1" applyFont="1" applyFill="1" applyBorder="1"/>
    <x:xf numFmtId="0" fontId="3" fillId="4" borderId="12" xfId="0" applyNumberFormat="1" applyFont="1" applyFill="1" applyBorder="1" applyAlignment="1">
      <x:alignment wrapText="1"/>
    </x:xf>
    <x:xf numFmtId="0" fontId="3" fillId="4" borderId="12" xfId="0" applyNumberFormat="1" applyFont="1" applyFill="1" applyBorder="1" applyAlignment="1">
      <x:alignment horizontal="center" wrapText="1"/>
    </x:xf>
    <x:xf numFmtId="0" fontId="3" fillId="4" borderId="12" xfId="0" applyNumberFormat="1" applyFont="1" applyFill="1" applyBorder="1" applyAlignment="1">
      <x:alignment horizontal="center" vertical="center" wrapText="1"/>
    </x:xf>
    <x:xf numFmtId="0" fontId="5" fillId="5" borderId="0" xfId="0" applyNumberFormat="1" applyFont="1" applyFill="1" applyBorder="1"/>
    <x:xf numFmtId="0" fontId="5" fillId="5" borderId="0" xfId="0" applyNumberFormat="1" applyFont="1" applyFill="1" applyBorder="1" applyAlignment="1">
      <x:alignment horizontal="center"/>
    </x:xf>
    <x:xf numFmtId="200" fontId="5" fillId="5" borderId="0" xfId="0" applyNumberFormat="1" applyFont="1" applyFill="1" applyBorder="1" applyAlignment="1">
      <x:alignment horizont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3" borderId="0" xfId="0" applyNumberFormat="1" applyFont="1" applyFill="1" applyBorder="1" applyAlignment="1">
      <x:alignment horizontal="center" vertical="top" wrapText="1"/>
    </x:xf>
    <x:xf numFmtId="0" fontId="0" fillId="6" borderId="0" xfId="0" applyNumberFormat="1" applyFont="1" applyFill="1" applyBorder="1" applyAlignment="1">
      <x:alignment horizontal="center" vertical="top" wrapText="1"/>
    </x:xf>
    <x:xf numFmtId="201" fontId="0" fillId="6" borderId="0" xfId="0" applyNumberFormat="1" applyFont="1" applyFill="1" applyBorder="1" applyAlignment="1">
      <x:alignment horizontal="center" vertical="top" wrapText="1"/>
    </x:xf>
    <x:xf numFmtId="202" fontId="0" fillId="3" borderId="0" xfId="0" applyNumberFormat="1" applyFont="1" applyFill="1" applyBorder="1" applyAlignment="1">
      <x:alignment horizontal="center" vertical="top" wrapText="1"/>
    </x:xf>
    <x:xf numFmtId="201" fontId="0" fillId="6" borderId="0" xfId="0" applyNumberFormat="1" applyFont="1" applyFill="1" applyBorder="1" applyAlignment="1">
      <x:alignment vertical="top"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13" xfId="0" applyNumberFormat="1" applyFont="1" applyFill="1" applyBorder="1"/>
    <x:xf numFmtId="0" fontId="3" fillId="9" borderId="14" xfId="0" applyNumberFormat="1" applyFont="1" applyFill="1" applyBorder="1"/>
    <x:xf numFmtId="0" fontId="3" fillId="9" borderId="15" xfId="0" applyNumberFormat="1" applyFont="1" applyFill="1" applyBorder="1"/>
    <x:xf numFmtId="0" fontId="3" fillId="9" borderId="13" xfId="0" applyNumberFormat="1" applyFont="1" applyFill="1" applyBorder="1" applyAlignment="1">
      <x:alignment wrapText="1"/>
    </x:xf>
    <x:xf numFmtId="0" fontId="3" fillId="9" borderId="14" xfId="0" applyNumberFormat="1" applyFont="1" applyFill="1" applyBorder="1" applyAlignment="1">
      <x:alignment wrapText="1"/>
    </x:xf>
    <x:xf numFmtId="0" fontId="3" fillId="9" borderId="15" xfId="0" applyNumberFormat="1" applyFont="1" applyFill="1" applyBorder="1" applyAlignment="1">
      <x:alignment wrapText="1"/>
    </x:xf>
    <x:xf numFmtId="0" fontId="3" fillId="9" borderId="13" xfId="0" applyNumberFormat="1" applyFont="1" applyFill="1" applyBorder="1" applyAlignment="1">
      <x:alignment horizontal="center" wrapText="1"/>
    </x:xf>
    <x:xf numFmtId="0" fontId="3" fillId="9" borderId="14" xfId="0" applyNumberFormat="1" applyFont="1" applyFill="1" applyBorder="1" applyAlignment="1">
      <x:alignment horizontal="center" wrapText="1"/>
    </x:xf>
    <x:xf numFmtId="0" fontId="3" fillId="9" borderId="15" xfId="0" applyNumberFormat="1" applyFont="1" applyFill="1" applyBorder="1" applyAlignment="1">
      <x:alignment horizontal="center" wrapText="1"/>
    </x:xf>
    <x:xf numFmtId="0" fontId="3" fillId="9" borderId="13" xfId="0" applyNumberFormat="1" applyFont="1" applyFill="1" applyBorder="1" applyAlignment="1">
      <x:alignment horizontal="center" vertical="center" wrapText="1"/>
    </x:xf>
    <x:xf numFmtId="0" fontId="3" fillId="9" borderId="14" xfId="0" applyNumberFormat="1" applyFont="1" applyFill="1" applyBorder="1" applyAlignment="1">
      <x:alignment horizontal="center" vertical="center" wrapText="1"/>
    </x:xf>
    <x:xf numFmtId="0" fontId="3" fillId="9" borderId="15"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10" borderId="0" xfId="0" applyNumberFormat="1" applyFont="1" applyFill="1" applyBorder="1" applyAlignment="1">
      <x:alignment vertical="top"/>
    </x:xf>
    <x:xf numFmtId="0" fontId="7" fillId="11" borderId="0" xfId="0" applyNumberFormat="1" applyFont="1" applyFill="1" applyBorder="1" applyAlignment="1">
      <x:alignment vertical="top"/>
    </x:xf>
    <x:xf numFmtId="201" fontId="7" fillId="11" borderId="0" xfId="0" applyNumberFormat="1" applyFont="1" applyFill="1" applyBorder="1" applyAlignment="1">
      <x:alignment vertical="top"/>
    </x:xf>
    <x:xf numFmtId="202" fontId="7" fillId="11" borderId="0" xfId="0" applyNumberFormat="1" applyFont="1" applyFill="1" applyBorder="1" applyAlignment="1">
      <x:alignment vertical="top"/>
    </x:xf>
    <x:xf numFmtId="0" fontId="7" fillId="11" borderId="0" xfId="0" applyNumberFormat="1" applyFont="1" applyFill="1" applyBorder="1" applyAlignment="1">
      <x:alignment vertical="top" wrapText="1"/>
    </x:xf>
    <x:xf numFmtId="0" fontId="0" fillId="11" borderId="0" xfId="0" applyNumberFormat="1" applyFont="1" applyFill="1" applyBorder="1"/>
    <x:xf numFmtId="0" fontId="8" fillId="11" borderId="0" xfId="0" applyNumberFormat="1" applyFont="1" applyFill="1" applyBorder="1"/>
    <x:xf numFmtId="203" fontId="8" fillId="11" borderId="0" xfId="0" applyNumberFormat="1" applyFont="1" applyFill="1" applyBorder="1"/>
    <x:xf numFmtId="201" fontId="8" fillId="11" borderId="0" xfId="0" applyNumberFormat="1" applyFont="1" applyFill="1" applyBorder="1"/>
    <x:xf numFmtId="0" fontId="8" fillId="10" borderId="0" xfId="0" applyNumberFormat="1" applyFont="1" applyFill="1" applyBorder="1"/>
    <x:xf numFmtId="0" fontId="8" fillId="12" borderId="0" xfId="0" applyNumberFormat="1" applyFont="1" applyFill="1" applyBorder="1"/>
    <x:xf numFmtId="0" fontId="8" fillId="11" borderId="0" xfId="0" applyNumberFormat="1" applyFont="1" applyFill="1" applyBorder="1" applyAlignment="1">
      <x:alignment wrapText="1"/>
    </x:xf>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0" borderId="0" xfId="0" applyNumberFormat="1" applyFont="1" applyFill="1" applyBorder="1"/>
    <x:xf numFmtId="0" fontId="9" fillId="10" borderId="0" xfId="0" applyNumberFormat="1" applyFont="1" applyFill="1" applyBorder="1"/>
    <x:xf numFmtId="0" fontId="9" fillId="10" borderId="16" xfId="0" applyNumberFormat="1" applyFont="1" applyFill="1" applyBorder="1"/>
    <x:xf numFmtId="0" fontId="9" fillId="10" borderId="17" xfId="0" applyNumberFormat="1" applyFont="1" applyFill="1" applyBorder="1"/>
    <x:xf numFmtId="0" fontId="9" fillId="10" borderId="18" xfId="0" applyNumberFormat="1" applyFont="1" applyFill="1" applyBorder="1"/>
    <x:xf numFmtId="0" fontId="9" fillId="10" borderId="19" xfId="0" applyNumberFormat="1" applyFont="1" applyFill="1" applyBorder="1"/>
    <x:xf numFmtId="203" fontId="9" fillId="10" borderId="16" xfId="0" applyNumberFormat="1" applyFont="1" applyFill="1" applyBorder="1"/>
    <x:xf numFmtId="203" fontId="9" fillId="10" borderId="17" xfId="0" applyNumberFormat="1" applyFont="1" applyFill="1" applyBorder="1"/>
    <x:xf numFmtId="203" fontId="9" fillId="10" borderId="18" xfId="0" applyNumberFormat="1" applyFont="1" applyFill="1" applyBorder="1"/>
    <x:xf numFmtId="203" fontId="9" fillId="10" borderId="19" xfId="0" applyNumberFormat="1" applyFont="1" applyFill="1" applyBorder="1"/>
    <x:xf numFmtId="203" fontId="9" fillId="10" borderId="16" xfId="0" applyNumberFormat="1" applyFont="1" applyFill="1" applyBorder="1" applyAlignment="1">
      <x:alignment horizontal="center"/>
    </x:xf>
    <x:xf numFmtId="203" fontId="9" fillId="10" borderId="17" xfId="0" applyNumberFormat="1" applyFont="1" applyFill="1" applyBorder="1" applyAlignment="1">
      <x:alignment horizontal="center"/>
    </x:xf>
    <x:xf numFmtId="203" fontId="9" fillId="10" borderId="18" xfId="0" applyNumberFormat="1" applyFont="1" applyFill="1" applyBorder="1" applyAlignment="1">
      <x:alignment horizontal="center"/>
    </x:xf>
    <x:xf numFmtId="203" fontId="9" fillId="10" borderId="19" xfId="0" applyNumberFormat="1" applyFont="1" applyFill="1" applyBorder="1" applyAlignment="1">
      <x:alignment horizontal="center"/>
    </x:xf>
    <x:xf numFmtId="203" fontId="9" fillId="10" borderId="16" xfId="0" applyNumberFormat="1" applyFont="1" applyFill="1" applyBorder="1" applyAlignment="1">
      <x:alignment horizontal="center" vertical="center"/>
    </x:xf>
    <x:xf numFmtId="203" fontId="9" fillId="10" borderId="17" xfId="0" applyNumberFormat="1" applyFont="1" applyFill="1" applyBorder="1" applyAlignment="1">
      <x:alignment horizontal="center" vertical="center"/>
    </x:xf>
    <x:xf numFmtId="203" fontId="9" fillId="10" borderId="18" xfId="0" applyNumberFormat="1" applyFont="1" applyFill="1" applyBorder="1" applyAlignment="1">
      <x:alignment horizontal="center" vertical="center"/>
    </x:xf>
    <x:xf numFmtId="203" fontId="9" fillId="10" borderId="19" xfId="0" applyNumberFormat="1" applyFont="1" applyFill="1" applyBorder="1" applyAlignment="1">
      <x:alignment horizontal="center" vertical="center"/>
    </x:xf>
    <x:xf numFmtId="204" fontId="9" fillId="10" borderId="16" xfId="0" applyNumberFormat="1" applyFont="1" applyFill="1" applyBorder="1"/>
    <x:xf numFmtId="204" fontId="9" fillId="10" borderId="17" xfId="0" applyNumberFormat="1" applyFont="1" applyFill="1" applyBorder="1"/>
    <x:xf numFmtId="204" fontId="9" fillId="10" borderId="18" xfId="0" applyNumberFormat="1" applyFont="1" applyFill="1" applyBorder="1"/>
    <x:xf numFmtId="204" fontId="9" fillId="10" borderId="19" xfId="0" applyNumberFormat="1" applyFont="1" applyFill="1" applyBorder="1"/>
    <x:xf numFmtId="204" fontId="9" fillId="10" borderId="16" xfId="0" applyNumberFormat="1" applyFont="1" applyFill="1" applyBorder="1" applyAlignment="1">
      <x:alignment horizontal="center"/>
    </x:xf>
    <x:xf numFmtId="204" fontId="9" fillId="10" borderId="17" xfId="0" applyNumberFormat="1" applyFont="1" applyFill="1" applyBorder="1" applyAlignment="1">
      <x:alignment horizontal="center"/>
    </x:xf>
    <x:xf numFmtId="204" fontId="9" fillId="10" borderId="18" xfId="0" applyNumberFormat="1" applyFont="1" applyFill="1" applyBorder="1" applyAlignment="1">
      <x:alignment horizontal="center"/>
    </x:xf>
    <x:xf numFmtId="204" fontId="9" fillId="10" borderId="19" xfId="0" applyNumberFormat="1" applyFont="1" applyFill="1" applyBorder="1" applyAlignment="1">
      <x:alignment horizontal="center"/>
    </x:xf>
    <x:xf numFmtId="204" fontId="9" fillId="10" borderId="16" xfId="0" applyNumberFormat="1" applyFont="1" applyFill="1" applyBorder="1" applyAlignment="1">
      <x:alignment horizontal="center" vertical="center"/>
    </x:xf>
    <x:xf numFmtId="204" fontId="9" fillId="10" borderId="17" xfId="0" applyNumberFormat="1" applyFont="1" applyFill="1" applyBorder="1" applyAlignment="1">
      <x:alignment horizontal="center" vertical="center"/>
    </x:xf>
    <x:xf numFmtId="204" fontId="9" fillId="10" borderId="18" xfId="0" applyNumberFormat="1" applyFont="1" applyFill="1" applyBorder="1" applyAlignment="1">
      <x:alignment horizontal="center" vertical="center"/>
    </x:xf>
    <x:xf numFmtId="204" fontId="9" fillId="10" borderId="19" xfId="0" applyNumberFormat="1" applyFont="1" applyFill="1" applyBorder="1" applyAlignment="1">
      <x:alignment horizontal="center" vertical="center"/>
    </x:xf>
    <x:xf numFmtId="205" fontId="9" fillId="10" borderId="16" xfId="0" applyNumberFormat="1" applyFont="1" applyFill="1" applyBorder="1"/>
    <x:xf numFmtId="205" fontId="9" fillId="10" borderId="17" xfId="0" applyNumberFormat="1" applyFont="1" applyFill="1" applyBorder="1"/>
    <x:xf numFmtId="205" fontId="9" fillId="10" borderId="18" xfId="0" applyNumberFormat="1" applyFont="1" applyFill="1" applyBorder="1"/>
    <x:xf numFmtId="205" fontId="9" fillId="10" borderId="19" xfId="0" applyNumberFormat="1" applyFont="1" applyFill="1" applyBorder="1"/>
    <x:xf numFmtId="205" fontId="9" fillId="10" borderId="16" xfId="0" applyNumberFormat="1" applyFont="1" applyFill="1" applyBorder="1" applyAlignment="1">
      <x:alignment horizontal="center"/>
    </x:xf>
    <x:xf numFmtId="205" fontId="9" fillId="10" borderId="17" xfId="0" applyNumberFormat="1" applyFont="1" applyFill="1" applyBorder="1" applyAlignment="1">
      <x:alignment horizontal="center"/>
    </x:xf>
    <x:xf numFmtId="205" fontId="9" fillId="10" borderId="18" xfId="0" applyNumberFormat="1" applyFont="1" applyFill="1" applyBorder="1" applyAlignment="1">
      <x:alignment horizontal="center"/>
    </x:xf>
    <x:xf numFmtId="205" fontId="9" fillId="10" borderId="19" xfId="0" applyNumberFormat="1" applyFont="1" applyFill="1" applyBorder="1" applyAlignment="1">
      <x:alignment horizontal="center"/>
    </x:xf>
    <x:xf numFmtId="205" fontId="9" fillId="10" borderId="16" xfId="0" applyNumberFormat="1" applyFont="1" applyFill="1" applyBorder="1" applyAlignment="1">
      <x:alignment horizontal="center" vertical="center"/>
    </x:xf>
    <x:xf numFmtId="205" fontId="9" fillId="10" borderId="17" xfId="0" applyNumberFormat="1" applyFont="1" applyFill="1" applyBorder="1" applyAlignment="1">
      <x:alignment horizontal="center" vertical="center"/>
    </x:xf>
    <x:xf numFmtId="205" fontId="9" fillId="10" borderId="18" xfId="0" applyNumberFormat="1" applyFont="1" applyFill="1" applyBorder="1" applyAlignment="1">
      <x:alignment horizontal="center" vertical="center"/>
    </x:xf>
    <x:xf numFmtId="205" fontId="9" fillId="10" borderId="19" xfId="0" applyNumberFormat="1" applyFont="1" applyFill="1" applyBorder="1" applyAlignment="1">
      <x:alignment horizontal="center" vertical="center"/>
    </x:xf>
    <x:xf numFmtId="0" fontId="7" fillId="9" borderId="0" xfId="0" applyNumberFormat="1" applyFont="1" applyFill="1" applyBorder="1" applyAlignment="1">
      <x:alignment vertical="top"/>
    </x:xf>
    <x:xf numFmtId="0" fontId="10" fillId="9" borderId="0" xfId="0" applyNumberFormat="1" applyFont="1" applyFill="1" applyBorder="1" applyAlignment="1">
      <x:alignment vertical="top"/>
    </x:xf>
    <x:xf numFmtId="0" fontId="10" fillId="9" borderId="13" xfId="0" applyNumberFormat="1" applyFont="1" applyFill="1" applyBorder="1" applyAlignment="1">
      <x:alignment vertical="top"/>
    </x:xf>
    <x:xf numFmtId="0" fontId="10" fillId="9" borderId="14" xfId="0" applyNumberFormat="1" applyFont="1" applyFill="1" applyBorder="1" applyAlignment="1">
      <x:alignment vertical="top"/>
    </x:xf>
    <x:xf numFmtId="0" fontId="10" fillId="9" borderId="15" xfId="0" applyNumberFormat="1" applyFont="1" applyFill="1" applyBorder="1" applyAlignment="1">
      <x:alignment vertical="top"/>
    </x:xf>
    <x:xf numFmtId="0" fontId="10" fillId="9" borderId="13" xfId="0" applyNumberFormat="1" applyFont="1" applyFill="1" applyBorder="1" applyAlignment="1">
      <x:alignment vertical="top" wrapText="1"/>
    </x:xf>
    <x:xf numFmtId="0" fontId="10" fillId="9" borderId="14"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13" xfId="0" applyNumberFormat="1" applyFont="1" applyFill="1" applyBorder="1" applyAlignment="1">
      <x:alignment horizontal="center" vertical="top" wrapText="1"/>
    </x:xf>
    <x:xf numFmtId="0" fontId="10" fillId="9" borderId="14" xfId="0" applyNumberFormat="1" applyFont="1" applyFill="1" applyBorder="1" applyAlignment="1">
      <x:alignment horizontal="center" vertical="top" wrapText="1"/>
    </x:xf>
    <x:xf numFmtId="0" fontId="10" fillId="9" borderId="15" xfId="0" applyNumberFormat="1" applyFont="1" applyFill="1" applyBorder="1" applyAlignment="1">
      <x:alignment horizontal="center" vertical="top" wrapText="1"/>
    </x:xf>
    <x:xf numFmtId="0" fontId="10" fillId="9" borderId="13" xfId="0" applyNumberFormat="1" applyFont="1" applyFill="1" applyBorder="1" applyAlignment="1">
      <x:alignment horizontal="center" vertical="center" wrapText="1"/>
    </x:xf>
    <x:xf numFmtId="0" fontId="10" fillId="9" borderId="14" xfId="0" applyNumberFormat="1" applyFont="1" applyFill="1" applyBorder="1" applyAlignment="1">
      <x:alignment horizontal="center" vertical="center" wrapText="1"/>
    </x:xf>
    <x:xf numFmtId="0" fontId="10" fillId="9" borderId="15" xfId="0" applyNumberFormat="1" applyFont="1" applyFill="1" applyBorder="1" applyAlignment="1">
      <x:alignment horizontal="center" vertical="center" wrapText="1"/>
    </x:xf>
    <x:xf numFmtId="201" fontId="7" fillId="0" borderId="0" xfId="0" applyNumberFormat="1" applyFont="1" applyFill="1" applyBorder="1" applyAlignment="1">
      <x:alignment vertical="top"/>
    </x:xf>
    <x:xf numFmtId="0" fontId="11" fillId="8" borderId="0" xfId="0" applyNumberFormat="1" applyFont="1" applyFill="1" applyBorder="1"/>
  </x:cellXfs>
  <x:cellStyles count="1">
    <x:cellStyle name="Normal" xfId="0"/>
  </x:cellStyles>
  <x:dxfs count="14">
    <x:dxf>
      <x:font>
        <x:color rgb="FF173F38"/>
      </x:font>
      <x:fill>
        <x:patternFill>
          <x:bgColor rgb="FFD9EFD9"/>
        </x:patternFill>
      </x:fill>
    </x:dxf>
    <x:dxf>
      <x:font>
        <x:b/>
        <x:color rgb="FF9B1C1C"/>
      </x:font>
      <x:fill>
        <x:patternFill>
          <x:bgColor rgb="FFFDE2E1"/>
        </x:patternFill>
      </x:fill>
    </x:dxf>
    <x:dxf>
      <x:font>
        <x:b/>
        <x:color rgb="FF173F38"/>
      </x:font>
      <x:fill>
        <x:patternFill>
          <x:bgColor rgb="FFD9EFD9"/>
        </x:patternFill>
      </x:fill>
    </x:dxf>
    <x:dxf>
      <x:font>
        <x:b/>
        <x:color rgb="FF9B1C1C"/>
      </x:font>
      <x:fill>
        <x:patternFill>
          <x:bgColor rgb="FFFDE2E1"/>
        </x:patternFill>
      </x:fill>
    </x:dxf>
    <x:dxf>
      <x:font>
        <x:b/>
        <x:color rgb="FF7A5200"/>
      </x:font>
      <x:fill>
        <x:patternFill>
          <x:bgColor rgb="FFFFF3CD"/>
        </x:patternFill>
      </x:fill>
    </x:dxf>
    <x:dxf>
      <x:font>
        <x:b/>
        <x:color rgb="FF173F38"/>
      </x:font>
      <x:fill>
        <x:patternFill>
          <x:bgColor rgb="FFD9EFD9"/>
        </x:patternFill>
      </x:fill>
    </x:dxf>
    <x:dxf>
      <x:font>
        <x:b/>
        <x:color rgb="FF9B1C1C"/>
      </x:font>
      <x:fill>
        <x:patternFill>
          <x:bgColor rgb="FFFDE2E1"/>
        </x:patternFill>
      </x:fill>
    </x:dxf>
    <x:dxf>
      <x:font>
        <x:b/>
        <x:color rgb="FF173F38"/>
      </x:font>
      <x:fill>
        <x:patternFill>
          <x:bgColor rgb="FFD9EFD9"/>
        </x:patternFill>
      </x:fill>
    </x:dxf>
    <x:dxf>
      <x:font>
        <x:b/>
        <x:color rgb="FF173F38"/>
      </x:font>
      <x:fill>
        <x:patternFill>
          <x:bgColor rgb="FFD9EFD9"/>
        </x:patternFill>
      </x:fill>
    </x:dxf>
    <x:dxf>
      <x:font>
        <x:b/>
        <x:color rgb="FF173F38"/>
      </x:font>
      <x:fill>
        <x:patternFill>
          <x:bgColor rgb="FFD9EFD9"/>
        </x:patternFill>
      </x:fill>
    </x:dxf>
    <x:dxf>
      <x:font>
        <x:b/>
        <x:color rgb="FF7A5200"/>
      </x:font>
      <x:fill>
        <x:patternFill>
          <x:bgColor rgb="FFFFF3CD"/>
        </x:patternFill>
      </x:fill>
    </x:dxf>
    <x:dxf>
      <x:font>
        <x:b/>
        <x:color rgb="FF9B1C1C"/>
      </x:font>
      <x:fill>
        <x:patternFill>
          <x:bgColor rgb="FFFCE8E6"/>
        </x:patternFill>
      </x:fill>
    </x:dxf>
    <x:dxf>
      <x:fill>
        <x:patternFill>
          <x:bgColor rgb="FFC6EFCE"/>
        </x:patternFill>
      </x:fill>
    </x:dxf>
    <x:dxf>
      <x:font>
        <x:b/>
        <x:color rgb="FF133F36"/>
      </x:font>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02dd0af4524a14" /><Relationship Type="http://schemas.openxmlformats.org/officeDocument/2006/relationships/theme" Target="/xl/theme/theme1.xml" Id="Ra7fd81e1fdbc4e07" /><Relationship Type="http://schemas.openxmlformats.org/officeDocument/2006/relationships/sharedStrings" Target="/xl/sharedStrings.xml" Id="R929efcd7766545c1" /><Relationship Type="http://schemas.openxmlformats.org/officeDocument/2006/relationships/worksheet" Target="/xl/worksheets/sheet1.xml" Id="R1afd31856a8a4f96" /><Relationship Type="http://schemas.openxmlformats.org/officeDocument/2006/relationships/worksheet" Target="/xl/worksheets/sheet2.xml" Id="R6b810fddf6f64b63" /><Relationship Type="http://schemas.openxmlformats.org/officeDocument/2006/relationships/worksheet" Target="/xl/worksheets/sheet3.xml" Id="R1be1a1073f264ae9" /><Relationship Type="http://schemas.openxmlformats.org/officeDocument/2006/relationships/worksheet" Target="/xl/worksheets/sheet4.xml" Id="R63d6dfaef3ad4906" /><Relationship Type="http://schemas.openxmlformats.org/officeDocument/2006/relationships/worksheet" Target="/xl/worksheets/sheet5.xml" Id="R2ae37b8dabb74a03" /><Relationship Type="http://schemas.openxmlformats.org/officeDocument/2006/relationships/worksheet" Target="/xl/worksheets/sheet6.xml" Id="R4f2df7896c0f4f52" /><Relationship Type="http://schemas.openxmlformats.org/officeDocument/2006/relationships/worksheet" Target="/xl/worksheets/sheet7.xml" Id="R44db713a402a407b" /><Relationship Type="http://schemas.openxmlformats.org/officeDocument/2006/relationships/worksheet" Target="/xl/worksheets/sheet8.xml" Id="Rc3addb0dfef640e6" /><Relationship Type="http://schemas.openxmlformats.org/officeDocument/2006/relationships/worksheet" Target="/xl/worksheets/sheet9.xml" Id="R2aa068ec04f74d25" /><Relationship Type="http://schemas.openxmlformats.org/officeDocument/2006/relationships/worksheet" Target="/xl/worksheets/sheet10.xml" Id="R17f2ca054a2c4745" /><Relationship Type="http://schemas.openxmlformats.org/officeDocument/2006/relationships/worksheet" Target="/xl/worksheets/sheet11.xml" Id="Ra73259606f164502" /><Relationship Type="http://schemas.openxmlformats.org/officeDocument/2006/relationships/worksheet" Target="/xl/worksheets/sheet12.xml" Id="Rf3af3656ee6c49d2" /></Relationships>
</file>

<file path=xl/drawings/_rels/drawing1.xml.rels>&#65279;<?xml version="1.0" encoding="utf-8"?><Relationships xmlns="http://schemas.openxmlformats.org/package/2006/relationships"><Relationship Type="http://schemas.openxmlformats.org/officeDocument/2006/relationships/chart" Target="/xl/drawings/charts/chart1.xml" Id="R9a5a63c6c0934584" /></Relationships>
</file>

<file path=xl/drawings/_rels/drawing2.xml.rels>&#65279;<?xml version="1.0" encoding="utf-8"?><Relationships xmlns="http://schemas.openxmlformats.org/package/2006/relationships"><Relationship Type="http://schemas.openxmlformats.org/officeDocument/2006/relationships/chart" Target="/xl/drawings/charts/chart2.xml" Id="Rdfee767ba232446c" /><Relationship Type="http://schemas.openxmlformats.org/officeDocument/2006/relationships/chart" Target="/xl/drawings/charts/chart3.xml" Id="Rc4956b07989c45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Blind Review Completion by Language (Candidates)</a:t>
            </a:r>
          </a:p>
        </c:rich>
      </c:tx>
    </c:title>
    <c:plotArea>
      <c:barChart>
        <c:barDir val="col"/>
        <c:varyColors val="0"/>
        <c:ser>
          <c:idx val="0"/>
          <c:order val="0"/>
          <c:tx>
            <c:v>Completed</c:v>
          </c:tx>
          <c:cat>
            <c:strRef>
              <c:f>'Dashboard'!$A$9:$A$10</c:f>
              <c:strCache>
                <c:ptCount val="0"/>
              </c:strCache>
            </c:strRef>
          </c:cat>
          <c:val>
            <c:numRef>
              <c:f>'Dashboard'!$B$9:$B$10</c:f>
              <c:numCache>
                <c:formatCode>0</c:formatCode>
                <c:ptCount val="0"/>
              </c:numCache>
            </c:numRef>
          </c:val>
        </c:ser>
        <c:ser>
          <c:idx val="1"/>
          <c:order val="1"/>
          <c:tx>
            <c:v>Pending</c:v>
          </c:tx>
          <c:cat>
            <c:strRef>
              <c:f>'Dashboard'!$A$9:$A$10</c:f>
              <c:strCache>
                <c:ptCount val="0"/>
              </c:strCache>
            </c:strRef>
          </c:cat>
          <c:val>
            <c:numRef>
              <c:f>'Dashboard'!$C$9:$C$10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3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Overall Dimension Scores (1–5)</a:t>
            </a:r>
          </a:p>
        </c:rich>
      </c:tx>
    </c:title>
    <c:plotArea>
      <c:barChart>
        <c:barDir val="col"/>
        <c:varyColors val="0"/>
        <c:ser>
          <c:idx val="0"/>
          <c:order val="0"/>
          <c:tx>
            <c:v>Baseline</c:v>
          </c:tx>
          <c:cat>
            <c:strRef>
              <c:f>'Results Dashboard'!$A$36:$A$42</c:f>
              <c:strCache>
                <c:ptCount val="0"/>
              </c:strCache>
            </c:strRef>
          </c:cat>
          <c:val>
            <c:numRef>
              <c:f>'Results Dashboard'!$B$36:$B$42</c:f>
              <c:numCache>
                <c:formatCode>0.00</c:formatCode>
                <c:ptCount val="0"/>
              </c:numCache>
            </c:numRef>
          </c:val>
        </c:ser>
        <c:ser>
          <c:idx val="1"/>
          <c:order val="1"/>
          <c:tx>
            <c:v>LocalizeFlow</c:v>
          </c:tx>
          <c:cat>
            <c:strRef>
              <c:f>'Results Dashboard'!$A$36:$A$42</c:f>
              <c:strCache>
                <c:ptCount val="0"/>
              </c:strCache>
            </c:strRef>
          </c:cat>
          <c:val>
            <c:numRef>
              <c:f>'Results Dashboard'!$C$36:$C$42</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5"/>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Score by Language (1–5)</a:t>
            </a:r>
          </a:p>
        </c:rich>
      </c:tx>
    </c:title>
    <c:plotArea>
      <c:barChart>
        <c:barDir val="col"/>
        <c:varyColors val="0"/>
        <c:ser>
          <c:idx val="0"/>
          <c:order val="0"/>
          <c:tx>
            <c:v>Baseline</c:v>
          </c:tx>
          <c:cat>
            <c:strRef>
              <c:f>'Results Dashboard'!$H$36:$H$37</c:f>
              <c:strCache>
                <c:ptCount val="0"/>
              </c:strCache>
            </c:strRef>
          </c:cat>
          <c:val>
            <c:numRef>
              <c:f>'Results Dashboard'!$I$36:$I$37</c:f>
              <c:numCache>
                <c:formatCode>0.00</c:formatCode>
                <c:ptCount val="0"/>
              </c:numCache>
            </c:numRef>
          </c:val>
        </c:ser>
        <c:ser>
          <c:idx val="1"/>
          <c:order val="1"/>
          <c:tx>
            <c:v>LocalizeFlow</c:v>
          </c:tx>
          <c:cat>
            <c:strRef>
              <c:f>'Results Dashboard'!$H$36:$H$37</c:f>
              <c:strCache>
                <c:ptCount val="0"/>
              </c:strCache>
            </c:strRef>
          </c:cat>
          <c:val>
            <c:numRef>
              <c:f>'Results Dashboard'!$J$36:$J$37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5"/>
          <c:min val="0"/>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a5a63c6c0934584"/>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15</xdr:row>
      <xdr:rowOff>0</xdr:rowOff>
    </xdr:from>
    <xdr:to>
      <xdr:col>7</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ee767ba232446c"/>
        </a:graphicData>
      </a:graphic>
    </xdr:graphicFrame>
    <xdr:clientData/>
  </xdr:twoCellAnchor>
  <xdr:twoCellAnchor>
    <xdr:from>
      <xdr:col>7</xdr:col>
      <xdr:colOff>0</xdr:colOff>
      <xdr:row>15</xdr:row>
      <xdr:rowOff>0</xdr:rowOff>
    </xdr:from>
    <xdr:to>
      <xdr:col>14</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956b07989c4547"/>
        </a:graphicData>
      </a:graphic>
    </xdr:graphicFrame>
    <xdr:clientData/>
  </xdr:twoCellAnchor>
</xdr:wsDr>
</file>

<file path=xl/tables/table1.xml><?xml version="1.0" encoding="utf-8"?>
<x:table xmlns:x="http://schemas.openxmlformats.org/spreadsheetml/2006/main" id="1" name="BlindReviewTable" displayName="BlindReviewTable" ref="A3:Y63" headerRowCount="1" totalsRowCount="0" totalsRowShown="0">
  <x:tableColumns count="25">
    <x:tableColumn id="1" name="Blind Order"/>
    <x:tableColumn id="2" name="Candidate ID"/>
    <x:tableColumn id="3" name="Group ID"/>
    <x:tableColumn id="4" name="SKU"/>
    <x:tableColumn id="5" name="Language"/>
    <x:tableColumn id="6" name="Content Type"/>
    <x:tableColumn id="7" name="Candidate"/>
    <x:tableColumn id="8" name="Anonymous Content"/>
    <x:tableColumn id="9" name="Fact Accuracy"/>
    <x:tableColumn id="10" name="Information Completeness"/>
    <x:tableColumn id="11" name="Language Naturalness"/>
    <x:tableColumn id="12" name="Cultural Fit"/>
    <x:tableColumn id="13" name="Brand Consistency"/>
    <x:tableColumn id="14" name="Platform Fit"/>
    <x:tableColumn id="15" name="Marketing Persuasiveness"/>
    <x:tableColumn id="16" name="Publishability"/>
    <x:tableColumn id="17" name="Modification Count"/>
    <x:tableColumn id="18" name="Review Minutes"/>
    <x:tableColumn id="19" name="Review Date"/>
    <x:tableColumn id="20" name="Reviewer ID"/>
    <x:tableColumn id="21" name="Review Status"/>
    <x:tableColumn id="22" name="Reviewer Comments"/>
    <x:tableColumn id="23" name="Failure Tags"/>
    <x:tableColumn id="24" name="Mean Score"/>
    <x:tableColumn id="25" name="Failure Flag"/>
  </x:tableColumns>
  <x:tableStyleInfo name="TableStyleMedium4" showFirstColumn="0" showLastColumn="0" showRowStripes="1" showColumnStripes="0"/>
</x:table>
</file>

<file path=xl/tables/table2.xml><?xml version="1.0" encoding="utf-8"?>
<x:table xmlns:x="http://schemas.openxmlformats.org/spreadsheetml/2006/main" id="2" name="PairProgressTable" displayName="PairProgressTable" ref="A3:R33" headerRowCount="1" totalsRowCount="0" totalsRowShown="0">
  <x:tableColumns count="18">
    <x:tableColumn id="1" name="Order"/>
    <x:tableColumn id="2" name="Group ID"/>
    <x:tableColumn id="3" name="SKU"/>
    <x:tableColumn id="4" name="Market"/>
    <x:tableColumn id="5" name="Language"/>
    <x:tableColumn id="6" name="Content Type"/>
    <x:tableColumn id="7" name="Candidate A ID"/>
    <x:tableColumn id="8" name="Candidate B ID"/>
    <x:tableColumn id="9" name="A Mean"/>
    <x:tableColumn id="10" name="B Mean"/>
    <x:tableColumn id="11" name="Blind Gap A-B"/>
    <x:tableColumn id="12" name="A Fact"/>
    <x:tableColumn id="13" name="B Fact"/>
    <x:tableColumn id="14" name="A Modifications"/>
    <x:tableColumn id="15" name="B Modifications"/>
    <x:tableColumn id="16" name="A Minutes"/>
    <x:tableColumn id="17" name="B Minutes"/>
    <x:tableColumn id="18" name="Pair Status"/>
  </x:tableColumns>
  <x:tableStyleInfo name="TableStyleMedium4" showFirstColumn="0" showLastColumn="0" showRowStripes="1" showColumnStripes="0"/>
</x:table>
</file>

<file path=xl/tables/table3.xml><?xml version="1.0" encoding="utf-8"?>
<x:table xmlns:x="http://schemas.openxmlformats.org/spreadsheetml/2006/main" id="3" name="FailureLogTable" displayName="FailureLogTable" ref="A3:N63" headerRowCount="1" totalsRowCount="0" totalsRowShown="0">
  <x:tableColumns count="14">
    <x:tableColumn id="1" name="Candidate ID"/>
    <x:tableColumn id="2" name="Group ID"/>
    <x:tableColumn id="3" name="SKU"/>
    <x:tableColumn id="4" name="Language"/>
    <x:tableColumn id="5" name="Content Type"/>
    <x:tableColumn id="6" name="Candidate"/>
    <x:tableColumn id="7" name="Fact Accuracy"/>
    <x:tableColumn id="8" name="Mean Score"/>
    <x:tableColumn id="9" name="Publishability"/>
    <x:tableColumn id="10" name="Modification Count"/>
    <x:tableColumn id="11" name="Review Minutes"/>
    <x:tableColumn id="12" name="Failure Flag"/>
    <x:tableColumn id="13" name="Failure Tags"/>
    <x:tableColumn id="14" name="Reviewer Comments"/>
  </x:tableColumns>
  <x:tableStyleInfo name="TableStyleMedium4" showFirstColumn="0" showLastColumn="0" showRowStripes="1" showColumnStripes="0"/>
</x:table>
</file>

<file path=xl/tables/table4.xml><?xml version="1.0" encoding="utf-8"?>
<x:table xmlns:x="http://schemas.openxmlformats.org/spreadsheetml/2006/main" id="4" name="FactReferenceTable" displayName="FactReferenceTable" ref="A3:L8" headerRowCount="1" totalsRowCount="0" totalsRowShown="0">
  <x:tableColumns count="12">
    <x:tableColumn id="1" name="SKU"/>
    <x:tableColumn id="2" name="Chinese Name"/>
    <x:tableColumn id="3" name="Category / Preferred Terms"/>
    <x:tableColumn id="4" name="Size"/>
    <x:tableColumn id="5" name="US Price"/>
    <x:tableColumn id="6" name="MX Price"/>
    <x:tableColumn id="7" name="Verified Features"/>
    <x:tableColumn id="8" name="Selected Ingredients"/>
    <x:tableColumn id="9" name="Allowed Benefit Boundary"/>
    <x:tableColumn id="10" name="Usage"/>
    <x:tableColumn id="11" name="Prohibited Claims"/>
    <x:tableColumn id="12" name="Source"/>
  </x:tableColumns>
  <x:tableStyleInfo name="TableStyleMedium4" showFirstColumn="0" showLastColumn="0" showRowStripes="1" showColumnStripes="0"/>
</x:table>
</file>

<file path=xl/tables/table5.xml><?xml version="1.0" encoding="utf-8"?>
<x:table xmlns:x="http://schemas.openxmlformats.org/spreadsheetml/2006/main" id="9" name="ExecutiveMetricsTable" displayName="ExecutiveMetricsTable" ref="A9:F13" headerRowCount="1" totalsRowCount="0" totalsRowShown="0">
  <x:tableColumns count="6">
    <x:tableColumn id="1" name="Metric"/>
    <x:tableColumn id="2" name="Baseline"/>
    <x:tableColumn id="3" name="LocalizeFlow"/>
    <x:tableColumn id="4" name="Absolute Change"/>
    <x:tableColumn id="5" name="Relative Change / Reduction"/>
    <x:tableColumn id="6" name="Direction"/>
  </x:tableColumns>
  <x:tableStyleInfo name="TableStyleMedium4" showFirstColumn="0" showLastColumn="0" showRowStripes="1" showColumnStripes="0"/>
</x:table>
</file>

<file path=xl/tables/table6.xml><?xml version="1.0" encoding="utf-8"?>
<x:table xmlns:x="http://schemas.openxmlformats.org/spreadsheetml/2006/main" id="10" name="LanguageComparisonTable" displayName="LanguageComparisonTable" ref="H9:L12" headerRowCount="1" totalsRowCount="0" totalsRowShown="0">
  <x:tableColumns count="5">
    <x:tableColumn id="1" name="Language"/>
    <x:tableColumn id="2" name="Baseline Mean"/>
    <x:tableColumn id="3" name="LocalizeFlow Mean"/>
    <x:tableColumn id="4" name="Absolute Uplift"/>
    <x:tableColumn id="5" name="Relative Uplift"/>
  </x:tableColumns>
  <x:tableStyleInfo name="TableStyleMedium4" showFirstColumn="0" showLastColumn="0" showRowStripes="1" showColumnStripes="0"/>
</x:table>
</file>

<file path=xl/tables/table7.xml><?xml version="1.0" encoding="utf-8"?>
<x:table xmlns:x="http://schemas.openxmlformats.org/spreadsheetml/2006/main" id="6" name="EvaluationSummaryTable" displayName="EvaluationSummaryTable" ref="A3:O9" headerRowCount="1" totalsRowCount="0" totalsRowShown="0">
  <x:tableColumns count="15">
    <x:tableColumn id="1" name="Language"/>
    <x:tableColumn id="2" name="Version"/>
    <x:tableColumn id="3" name="N"/>
    <x:tableColumn id="4" name="Fact Pass Rate"/>
    <x:tableColumn id="5" name="Information Completeness"/>
    <x:tableColumn id="6" name="Language Naturalness"/>
    <x:tableColumn id="7" name="Cultural Fit"/>
    <x:tableColumn id="8" name="Brand Consistency"/>
    <x:tableColumn id="9" name="Platform Fit"/>
    <x:tableColumn id="10" name="Marketing Persuasiveness"/>
    <x:tableColumn id="11" name="Publishability"/>
    <x:tableColumn id="12" name="Overall Mean"/>
    <x:tableColumn id="13" name="Modification Count"/>
    <x:tableColumn id="14" name="Review Minutes"/>
    <x:tableColumn id="15" name="Threshold Failures"/>
  </x:tableColumns>
  <x:tableStyleInfo name="TableStyleMedium4" showFirstColumn="0" showLastColumn="0" showRowStripes="1" showColumnStripes="0"/>
</x:table>
</file>

<file path=xl/tables/table8.xml><?xml version="1.0" encoding="utf-8"?>
<x:table xmlns:x="http://schemas.openxmlformats.org/spreadsheetml/2006/main" id="7" name="RevealedPairTable" displayName="RevealedPairTable" ref="R3:W33" headerRowCount="1" totalsRowCount="0" totalsRowShown="0">
  <x:tableColumns count="6">
    <x:tableColumn id="1" name="Group ID"/>
    <x:tableColumn id="2" name="Language"/>
    <x:tableColumn id="3" name="Content Type"/>
    <x:tableColumn id="4" name="Baseline Mean"/>
    <x:tableColumn id="5" name="LocalizeFlow Mean"/>
    <x:tableColumn id="6" name="Winner"/>
  </x:tableColumns>
  <x:tableStyleInfo name="TableStyleMedium4" showFirstColumn="0" showLastColumn="0" showRowStripes="1" showColumnStripes="0"/>
</x:table>
</file>

<file path=xl/tables/table9.xml><?xml version="1.0" encoding="utf-8"?>
<x:table xmlns:x="http://schemas.openxmlformats.org/spreadsheetml/2006/main" id="5" name="RevealedEvaluationTable" displayName="RevealedEvaluationTable" ref="A3:AC63" headerRowCount="1" totalsRowCount="0" totalsRowShown="0">
  <x:tableColumns count="29">
    <x:tableColumn id="1" name="Blind Order"/>
    <x:tableColumn id="2" name="Candidate ID"/>
    <x:tableColumn id="3" name="Group ID"/>
    <x:tableColumn id="4" name="SKU"/>
    <x:tableColumn id="5" name="Market"/>
    <x:tableColumn id="6" name="Language"/>
    <x:tableColumn id="7" name="Content Type"/>
    <x:tableColumn id="8" name="Candidate"/>
    <x:tableColumn id="9" name="Underlying Version"/>
    <x:tableColumn id="10" name="Content"/>
    <x:tableColumn id="11" name="Fact Accuracy"/>
    <x:tableColumn id="12" name="Fact Pass"/>
    <x:tableColumn id="13" name="Information Completeness"/>
    <x:tableColumn id="14" name="Language Naturalness"/>
    <x:tableColumn id="15" name="Cultural Fit"/>
    <x:tableColumn id="16" name="Brand Consistency"/>
    <x:tableColumn id="17" name="Platform Fit"/>
    <x:tableColumn id="18" name="Marketing Persuasiveness"/>
    <x:tableColumn id="19" name="Publishability"/>
    <x:tableColumn id="20" name="Mean Score"/>
    <x:tableColumn id="21" name="Modification Count"/>
    <x:tableColumn id="22" name="Review Minutes"/>
    <x:tableColumn id="23" name="Review Date"/>
    <x:tableColumn id="24" name="Reviewer ID"/>
    <x:tableColumn id="25" name="Review Status"/>
    <x:tableColumn id="26" name="Failure Tags"/>
    <x:tableColumn id="27" name="Reviewer Comments"/>
    <x:tableColumn id="28" name="Threshold Failure"/>
    <x:tableColumn id="29" name="Content SHA-256"/>
  </x:tableColumns>
  <x:tableStyleInfo name="TableStyleMedium4" showFirstColumn="0" showLastColumn="0" showRowStripes="1" showColumnStripes="0"/>
</x:table>
</file>

<file path=xl/tables/table10.xml><?xml version="1.0" encoding="utf-8"?>
<x:table xmlns:x="http://schemas.openxmlformats.org/spreadsheetml/2006/main" id="8" name="ActualFailureCasesTable" displayName="ActualFailureCasesTable" ref="A3:P33" headerRowCount="1" totalsRowCount="0" totalsRowShown="0">
  <x:tableColumns count="16">
    <x:tableColumn id="1" name="Rank"/>
    <x:tableColumn id="2" name="Candidate ID"/>
    <x:tableColumn id="3" name="Group ID"/>
    <x:tableColumn id="4" name="SKU"/>
    <x:tableColumn id="5" name="Language"/>
    <x:tableColumn id="6" name="Content Type"/>
    <x:tableColumn id="7" name="Version"/>
    <x:tableColumn id="8" name="Fact Accuracy"/>
    <x:tableColumn id="9" name="Mean Score"/>
    <x:tableColumn id="10" name="Publishability"/>
    <x:tableColumn id="11" name="Modification Count"/>
    <x:tableColumn id="12" name="Review Minutes"/>
    <x:tableColumn id="13" name="Primary Trigger"/>
    <x:tableColumn id="14" name="Failure Tags"/>
    <x:tableColumn id="15" name="Reviewer Comments"/>
    <x:tableColumn id="16" name="Candidate Content"/>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f234e5e29d714041" /></Relationships>
</file>

<file path=xl/worksheets/_rels/sheet3.xml.rels>&#65279;<?xml version="1.0" encoding="utf-8"?><Relationships xmlns="http://schemas.openxmlformats.org/package/2006/relationships"><Relationship Type="http://schemas.openxmlformats.org/officeDocument/2006/relationships/table" Target="/xl/tables/table1.xml" Id="R674705235ed44b8e" /></Relationships>
</file>

<file path=xl/worksheets/_rels/sheet4.xml.rels>&#65279;<?xml version="1.0" encoding="utf-8"?><Relationships xmlns="http://schemas.openxmlformats.org/package/2006/relationships"><Relationship Type="http://schemas.openxmlformats.org/officeDocument/2006/relationships/table" Target="/xl/tables/table2.xml" Id="R0dd6fea795214080" /></Relationships>
</file>

<file path=xl/worksheets/_rels/sheet5.xml.rels>&#65279;<?xml version="1.0" encoding="utf-8"?><Relationships xmlns="http://schemas.openxmlformats.org/package/2006/relationships"><Relationship Type="http://schemas.openxmlformats.org/officeDocument/2006/relationships/table" Target="/xl/tables/table3.xml" Id="R1330944b192e4b58" /></Relationships>
</file>

<file path=xl/worksheets/_rels/sheet7.xml.rels>&#65279;<?xml version="1.0" encoding="utf-8"?><Relationships xmlns="http://schemas.openxmlformats.org/package/2006/relationships"><Relationship Type="http://schemas.openxmlformats.org/officeDocument/2006/relationships/table" Target="/xl/tables/table4.xml" Id="Ra0175cf028e44232" /></Relationships>
</file>

<file path=xl/worksheets/_rels/sheet9.xml.rels>&#65279;<?xml version="1.0" encoding="utf-8"?><Relationships xmlns="http://schemas.openxmlformats.org/package/2006/relationships"><Relationship Type="http://schemas.openxmlformats.org/officeDocument/2006/relationships/drawing" Target="/xl/drawings/drawing2.xml" Id="Rf00bae28d7094247" /><Relationship Type="http://schemas.openxmlformats.org/officeDocument/2006/relationships/table" Target="/xl/tables/table5.xml" Id="R0bb9719cb6774c97" /><Relationship Type="http://schemas.openxmlformats.org/officeDocument/2006/relationships/table" Target="/xl/tables/table6.xml" Id="R20fa184ba7e748cc" /></Relationships>
</file>

<file path=xl/worksheets/_rels/sheet10.xml.rels>&#65279;<?xml version="1.0" encoding="utf-8"?><Relationships xmlns="http://schemas.openxmlformats.org/package/2006/relationships"><Relationship Type="http://schemas.openxmlformats.org/officeDocument/2006/relationships/table" Target="/xl/tables/table7.xml" Id="Rfe87a89a675d4c52" /><Relationship Type="http://schemas.openxmlformats.org/officeDocument/2006/relationships/table" Target="/xl/tables/table8.xml" Id="R0438aa447b6d4dda" /></Relationships>
</file>

<file path=xl/worksheets/_rels/sheet11.xml.rels>&#65279;<?xml version="1.0" encoding="utf-8"?><Relationships xmlns="http://schemas.openxmlformats.org/package/2006/relationships"><Relationship Type="http://schemas.openxmlformats.org/officeDocument/2006/relationships/table" Target="/xl/tables/table9.xml" Id="R1270bb6d031740ae" /></Relationships>
</file>

<file path=xl/worksheets/_rels/sheet12.xml.rels>&#65279;<?xml version="1.0" encoding="utf-8"?><Relationships xmlns="http://schemas.openxmlformats.org/package/2006/relationships"><Relationship Type="http://schemas.openxmlformats.org/officeDocument/2006/relationships/table" Target="/xl/tables/table10.xml" Id="R954be9e02c844781"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72" hidden="0" customWidth="1"/>
    <x:col min="3" max="3" width="4" hidden="0" customWidth="1"/>
    <x:col min="4" max="4" width="26" hidden="0" customWidth="1"/>
    <x:col min="5" max="5" width="36" hidden="0" customWidth="1"/>
    <x:col min="6" max="6" width="4" hidden="0" customWidth="1"/>
    <x:col min="7" max="7" width="4" hidden="0" customWidth="1"/>
    <x:col min="8" max="8" width="4" hidden="0" customWidth="1"/>
  </x:cols>
  <x:sheetData>
    <x:row r="1" ht="34" customHeight="1">
      <x:c r="A1" s="3" t="str">
        <x:v>LocalizeFlow｜Blind Human Evaluation</x:v>
      </x:c>
      <x:c r="B1" s="3"/>
      <x:c r="C1" s="3"/>
      <x:c r="D1" s="3"/>
      <x:c r="E1" s="3"/>
      <x:c r="F1" s="3"/>
      <x:c r="G1" s="3"/>
      <x:c r="H1" s="3"/>
    </x:row>
    <x:row r="2" ht="42" customHeight="1">
      <x:c r="A2" s="7" t="str">
        <x:v>状态：60/60 真实盲评已完成并揭盲。结果见 Results Dashboard、Results Detail、Failure Cases 与 Revealed Data。</x:v>
      </x:c>
      <x:c r="B2" s="7"/>
      <x:c r="C2" s="7"/>
      <x:c r="D2" s="7"/>
      <x:c r="E2" s="7"/>
      <x:c r="F2" s="7"/>
      <x:c r="G2" s="7"/>
      <x:c r="H2" s="7"/>
    </x:row>
    <x:row r="4">
      <x:c r="A4" s="24" t="str">
        <x:v>项目</x:v>
      </x:c>
      <x:c r="B4" s="25" t="str">
        <x:v>说明</x:v>
      </x:c>
      <x:c r="C4" s="26"/>
      <x:c r="D4" s="25" t="str">
        <x:v>元数据</x:v>
      </x:c>
      <x:c r="E4" s="27" t="str">
        <x:v>值</x:v>
      </x:c>
    </x:row>
    <x:row r="5">
      <x:c r="A5" s="28" t="str">
        <x:v>评测规模</x:v>
      </x:c>
      <x:c r="B5" s="29" t="str">
        <x:v>5 个 SKU × 2 种语言 × 3 种内容类型 = 30 组；每组 A/B 两个匿名候选，共 60 条评分。</x:v>
      </x:c>
      <x:c r="C5" s="30"/>
      <x:c r="D5" s="31" t="str">
        <x:v>Randomization seed</x:v>
      </x:c>
      <x:c r="E5" s="32" t="n">
        <x:v>20260728</x:v>
      </x:c>
    </x:row>
    <x:row r="6">
      <x:c r="A6" s="28" t="str">
        <x:v>盲评原则</x:v>
      </x:c>
      <x:c r="B6" s="29" t="str">
        <x:v>只按候选 A/B 评分，不猜测版本来源；全部完成后再揭盲。</x:v>
      </x:c>
      <x:c r="C6" s="30"/>
      <x:c r="D6" s="31" t="str">
        <x:v>Generated at (UTC)</x:v>
      </x:c>
      <x:c r="E6" s="32" t="str">
        <x:v>UTC 2026-07-28T09:52:43.112Z</x:v>
      </x:c>
    </x:row>
    <x:row r="7">
      <x:c r="A7" s="28" t="str">
        <x:v>事实准确性</x:v>
      </x:c>
      <x:c r="B7" s="29" t="str">
        <x:v>只能填写 Pass 或 Fail；先对照 Fact Reference。</x:v>
      </x:c>
      <x:c r="C7" s="30"/>
      <x:c r="D7" s="31" t="str">
        <x:v>Group count</x:v>
      </x:c>
      <x:c r="E7" s="32" t="n">
        <x:v>30</x:v>
      </x:c>
    </x:row>
    <x:row r="8">
      <x:c r="A8" s="28" t="str">
        <x:v>7 个评分维度</x:v>
      </x:c>
      <x:c r="B8" s="29" t="str">
        <x:v>信息完整性、语言自然度、文化适配度、品牌一致性、平台适配度、营销说服力、可发布性，各 1–5 分。</x:v>
      </x:c>
      <x:c r="C8" s="30"/>
      <x:c r="D8" s="31" t="str">
        <x:v>Candidate count</x:v>
      </x:c>
      <x:c r="E8" s="32" t="n">
        <x:v>60</x:v>
      </x:c>
    </x:row>
    <x:row r="9">
      <x:c r="A9" s="28" t="str">
        <x:v>操作记录</x:v>
      </x:c>
      <x:c r="B9" s="29" t="str">
        <x:v>填写人工修改次数、审核分钟数、日期、评审人和评论。</x:v>
      </x:c>
      <x:c r="C9" s="30"/>
      <x:c r="D9" s="31" t="str">
        <x:v>Version labels in final copy</x:v>
      </x:c>
      <x:c r="E9" s="32" t="str">
        <x:v>Revealed</x:v>
      </x:c>
    </x:row>
    <x:row r="10">
      <x:c r="A10" s="28" t="str">
        <x:v>完成标准</x:v>
      </x:c>
      <x:c r="B10" s="29" t="str">
        <x:v>一行只有在所有必填评分已填写后才可将 Review Status 改为 Complete。</x:v>
      </x:c>
      <x:c r="C10" s="30"/>
      <x:c r="D10" s="30"/>
      <x:c r="E10" s="33"/>
    </x:row>
    <x:row r="11">
      <x:c r="A11" s="28" t="str">
        <x:v>失败案例</x:v>
      </x:c>
      <x:c r="B11" s="29" t="str">
        <x:v>Fact Accuracy=Fail、Publishability≤2 或 Mean Score≤3 的候选会在 Failure Log 标记。</x:v>
      </x:c>
      <x:c r="C11" s="30"/>
      <x:c r="D11" s="30"/>
      <x:c r="E11" s="33"/>
    </x:row>
    <x:row r="12">
      <x:c r="A12" s="34"/>
      <x:c r="B12" s="30"/>
      <x:c r="C12" s="30"/>
      <x:c r="D12" s="30"/>
      <x:c r="E12" s="33"/>
    </x:row>
    <x:row r="13">
      <x:c r="A13" s="35" t="str">
        <x:v>评分步骤</x:v>
      </x:c>
      <x:c r="B13" s="36" t="str">
        <x:v>操作</x:v>
      </x:c>
      <x:c r="C13" s="30"/>
      <x:c r="D13" s="30"/>
      <x:c r="E13" s="33"/>
    </x:row>
    <x:row r="14">
      <x:c r="A14" s="37" t="n">
        <x:v>1</x:v>
      </x:c>
      <x:c r="B14" s="29" t="str">
        <x:v>打开 Fact Reference 和 Rubric，确认评分标准。</x:v>
      </x:c>
      <x:c r="C14" s="30"/>
      <x:c r="D14" s="30"/>
      <x:c r="E14" s="33"/>
    </x:row>
    <x:row r="15">
      <x:c r="A15" s="37" t="n">
        <x:v>2</x:v>
      </x:c>
      <x:c r="B15" s="29" t="str">
        <x:v>在 Blind Review 按 Blind Order 顺序阅读候选内容。</x:v>
      </x:c>
      <x:c r="C15" s="30"/>
      <x:c r="D15" s="30"/>
      <x:c r="E15" s="33"/>
    </x:row>
    <x:row r="16">
      <x:c r="A16" s="37" t="n">
        <x:v>3</x:v>
      </x:c>
      <x:c r="B16" s="29" t="str">
        <x:v>填写黄色单元格；每条候选独立评分。</x:v>
      </x:c>
      <x:c r="C16" s="30"/>
      <x:c r="D16" s="30"/>
      <x:c r="E16" s="33"/>
    </x:row>
    <x:row r="17">
      <x:c r="A17" s="37" t="n">
        <x:v>4</x:v>
      </x:c>
      <x:c r="B17" s="29" t="str">
        <x:v>每完成一条，将 Review Status 改为 Complete。</x:v>
      </x:c>
      <x:c r="C17" s="30"/>
      <x:c r="D17" s="30"/>
      <x:c r="E17" s="33"/>
    </x:row>
    <x:row r="18">
      <x:c r="A18" s="38" t="n">
        <x:v>5</x:v>
      </x:c>
      <x:c r="B18" s="39" t="str">
        <x:v>60/60 完成后锁定评分记录，再揭盲并生成实际 A/B 报告、双语统计、对比图及至少 5 个失败案例。</x:v>
      </x:c>
      <x:c r="C18" s="40"/>
      <x:c r="D18" s="40"/>
      <x:c r="E18" s="41"/>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8" hidden="0" customWidth="1"/>
    <x:col min="5" max="5" width="24" hidden="0" customWidth="1"/>
    <x:col min="6" max="6" width="18" hidden="0" customWidth="1"/>
    <x:col min="7" max="7" width="18" hidden="0" customWidth="1"/>
    <x:col min="8" max="8" width="3"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Blind Review Dashboard｜Completion Only</x:v>
      </x:c>
      <x:c r="B1" s="3"/>
      <x:c r="C1" s="3"/>
      <x:c r="D1" s="3"/>
      <x:c r="E1" s="3"/>
      <x:c r="F1" s="3"/>
      <x:c r="G1" s="3"/>
      <x:c r="H1" s="3"/>
      <x:c r="I1" s="3"/>
      <x:c r="J1" s="3"/>
      <x:c r="K1" s="3"/>
      <x:c r="L1" s="3"/>
      <x:c r="M1" s="3"/>
      <x:c r="N1" s="3"/>
    </x:row>
    <x:row r="2">
      <x:c r="A2" s="6" t="str">
        <x:v>盲评已完成；本页保留完成度记录。真实版本结果见 Results Dashboard。</x:v>
      </x:c>
      <x:c r="B2" s="6"/>
      <x:c r="C2" s="6"/>
      <x:c r="D2" s="6"/>
      <x:c r="E2" s="6"/>
      <x:c r="F2" s="6"/>
      <x:c r="G2" s="6"/>
      <x:c r="H2" s="6"/>
      <x:c r="I2" s="6"/>
      <x:c r="J2" s="6"/>
      <x:c r="K2" s="6"/>
      <x:c r="L2" s="6"/>
      <x:c r="M2" s="6"/>
      <x:c r="N2" s="6"/>
    </x:row>
    <x:row r="4" ht="36" customHeight="1">
      <x:c r="A4" s="16" t="str">
        <x:v>Completed Candidates</x:v>
      </x:c>
      <x:c r="B4" s="45" t="str">
        <x:v>Completed Pairs</x:v>
      </x:c>
      <x:c r="C4" s="45" t="str">
        <x:v>English Pairs</x:v>
      </x:c>
      <x:c r="D4" s="45" t="str">
        <x:v>Spanish Pairs</x:v>
      </x:c>
      <x:c r="E4" s="45" t="str">
        <x:v>Flagged Failures</x:v>
      </x:c>
      <x:c r="F4" s="17" t="str">
        <x:v>Avg Review Min</x:v>
      </x:c>
    </x:row>
    <x:row r="5">
      <x:c r="A5" s="47" t="n">
        <x:f>COUNTIF('Blind Review'!$Y$4:$Y$63,"Reviewed")+COUNTIF('Blind Review'!$Y$4:$Y$63,"Failure")</x:f>
        <x:v>60</x:v>
      </x:c>
      <x:c r="B5" s="47" t="n">
        <x:f>COUNTIF('Pair Progress'!$R$4:$R$33,"Complete")</x:f>
        <x:v>30</x:v>
      </x:c>
      <x:c r="C5" s="47" t="n">
        <x:f>COUNTIFS('Pair Progress'!$E$4:$E$33,"en-US",'Pair Progress'!$R$4:$R$33,"Complete")</x:f>
        <x:v>15</x:v>
      </x:c>
      <x:c r="D5" s="47" t="n">
        <x:f>COUNTIFS('Pair Progress'!$E$4:$E$33,"es-MX",'Pair Progress'!$R$4:$R$33,"Complete")</x:f>
        <x:v>15</x:v>
      </x:c>
      <x:c r="E5" s="47" t="n">
        <x:f>COUNTIF('Blind Review'!$Y$4:$Y$63,"Failure")</x:f>
        <x:v>30</x:v>
      </x:c>
      <x:c r="F5" s="48" t="n">
        <x:f>IF(COUNT('Blind Review'!$R$4:$R$63)=0,"",AVERAGE('Blind Review'!$R$4:$R$63))</x:f>
        <x:v>5.516666666666667</x:v>
      </x:c>
    </x:row>
    <x:row r="8">
      <x:c r="A8" s="16" t="str">
        <x:v>Language</x:v>
      </x:c>
      <x:c r="B8" s="45" t="str">
        <x:v>Completed</x:v>
      </x:c>
      <x:c r="C8" s="17" t="str">
        <x:v>Pending</x:v>
      </x:c>
      <x:c r="E8" s="16" t="str">
        <x:v>Content Type</x:v>
      </x:c>
      <x:c r="F8" s="45" t="str">
        <x:v>Completed</x:v>
      </x:c>
      <x:c r="G8" s="17" t="str">
        <x:v>Pending</x:v>
      </x:c>
    </x:row>
    <x:row r="9">
      <x:c r="A9" s="22" t="str">
        <x:v>en-US</x:v>
      </x:c>
      <x:c r="B9" s="22" t="n">
        <x:f>COUNTIFS('Blind Review'!$E$4:$E$63,A9,'Blind Review'!$Y$4:$Y$63,"Reviewed")+COUNTIFS('Blind Review'!$E$4:$E$63,A9,'Blind Review'!$Y$4:$Y$63,"Failure")</x:f>
        <x:v>30</x:v>
      </x:c>
      <x:c r="C9" s="22" t="n">
        <x:f>COUNTIF('Blind Review'!$E$4:$E$63,A9)-B9</x:f>
        <x:v>0</x:v>
      </x:c>
      <x:c r="E9" s="22" t="str">
        <x:v>product_listing</x:v>
      </x:c>
      <x:c r="F9" s="22" t="n">
        <x:f>COUNTIFS('Blind Review'!$F$4:$F$63,E9,'Blind Review'!$Y$4:$Y$63,"Reviewed")+COUNTIFS('Blind Review'!$F$4:$F$63,E9,'Blind Review'!$Y$4:$Y$63,"Failure")</x:f>
        <x:v>20</x:v>
      </x:c>
      <x:c r="G9" s="22" t="n">
        <x:f>COUNTIF('Blind Review'!$F$4:$F$63,E9)-F9</x:f>
        <x:v>0</x:v>
      </x:c>
    </x:row>
    <x:row r="10">
      <x:c r="A10" s="22" t="str">
        <x:v>es-MX</x:v>
      </x:c>
      <x:c r="B10" s="22" t="n">
        <x:f>COUNTIFS('Blind Review'!$E$4:$E$63,A10,'Blind Review'!$Y$4:$Y$63,"Reviewed")+COUNTIFS('Blind Review'!$E$4:$E$63,A10,'Blind Review'!$Y$4:$Y$63,"Failure")</x:f>
        <x:v>30</x:v>
      </x:c>
      <x:c r="C10" s="22" t="n">
        <x:f>COUNTIF('Blind Review'!$E$4:$E$63,A10)-B10</x:f>
        <x:v>0</x:v>
      </x:c>
      <x:c r="E10" s="22" t="str">
        <x:v>short_video_script</x:v>
      </x:c>
      <x:c r="F10" s="22" t="n">
        <x:f>COUNTIFS('Blind Review'!$F$4:$F$63,E10,'Blind Review'!$Y$4:$Y$63,"Reviewed")+COUNTIFS('Blind Review'!$F$4:$F$63,E10,'Blind Review'!$Y$4:$Y$63,"Failure")</x:f>
        <x:v>20</x:v>
      </x:c>
      <x:c r="G10" s="22" t="n">
        <x:f>COUNTIF('Blind Review'!$F$4:$F$63,E10)-F10</x:f>
        <x:v>0</x:v>
      </x:c>
    </x:row>
    <x:row r="11">
      <x:c r="E11" s="22" t="str">
        <x:v>social_ad_copy</x:v>
      </x:c>
      <x:c r="F11" s="22" t="n">
        <x:f>COUNTIFS('Blind Review'!$F$4:$F$63,E11,'Blind Review'!$Y$4:$Y$63,"Reviewed")+COUNTIFS('Blind Review'!$F$4:$F$63,E11,'Blind Review'!$Y$4:$Y$63,"Failure")</x:f>
        <x:v>20</x:v>
      </x:c>
      <x:c r="G11" s="22" t="n">
        <x:f>COUNTIF('Blind Review'!$F$4:$F$63,E11)-F11</x:f>
        <x:v>0</x:v>
      </x:c>
    </x:row>
    <x:row r="14">
      <x:c r="A14" s="16" t="str">
        <x:v>Candidate</x:v>
      </x:c>
      <x:c r="B14" s="45" t="str">
        <x:v>Rows</x:v>
      </x:c>
      <x:c r="C14" s="17" t="str">
        <x:v>Balance Check</x:v>
      </x:c>
    </x:row>
    <x:row r="15">
      <x:c r="A15" s="22" t="str">
        <x:v>A</x:v>
      </x:c>
      <x:c r="B15" s="22" t="n">
        <x:f>COUNTIF('Blind Review'!$G$4:$G$63,A15)</x:f>
        <x:v>30</x:v>
      </x:c>
      <x:c r="C15" s="22" t="str">
        <x:f>IF(B15=30,"PASS","CHECK")</x:f>
        <x:v>PASS</x:v>
      </x:c>
    </x:row>
    <x:row r="16">
      <x:c r="A16" s="22" t="str">
        <x:v>B</x:v>
      </x:c>
      <x:c r="B16" s="22" t="n">
        <x:f>COUNTIF('Blind Review'!$G$4:$G$63,A16)</x:f>
        <x:v>30</x:v>
      </x:c>
      <x:c r="C16" s="22" t="str">
        <x:f>IF(B16=30,"PASS","CHECK")</x:f>
        <x:v>PASS</x:v>
      </x:c>
    </x:row>
  </x:sheetData>
  <x:mergeCells>
    <x:mergeCell ref="A1:N1"/>
    <x:mergeCell ref="A2:N2"/>
  </x:mergeCells>
  <x:pageMargins left="0.7" right="0.7" top="0.75" bottom="0.75" header="0.3" footer="0.3"/>
  <x:drawing xmlns:r="http://schemas.openxmlformats.org/officeDocument/2006/relationships" r:id="Rf234e5e29d714041"/>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1" hidden="0" customWidth="1"/>
    <x:col min="4" max="4" width="18" hidden="0" customWidth="1"/>
    <x:col min="5" max="5" width="11" hidden="0" customWidth="1"/>
    <x:col min="6" max="6" width="22" hidden="0" customWidth="1"/>
    <x:col min="7" max="7" width="11" hidden="0" customWidth="1"/>
    <x:col min="8" max="8" width="84" hidden="0" customWidth="1"/>
    <x:col min="9" max="9" width="14" hidden="0" customWidth="1"/>
    <x:col min="10" max="10" width="16" hidden="0" customWidth="1"/>
    <x:col min="11" max="11" width="16" hidden="0" customWidth="1"/>
    <x:col min="12" max="12" width="13" hidden="0" customWidth="1"/>
    <x:col min="13" max="13" width="16" hidden="0" customWidth="1"/>
    <x:col min="14" max="14" width="13" hidden="0" customWidth="1"/>
    <x:col min="15" max="15" width="17" hidden="0" customWidth="1"/>
    <x:col min="16" max="16" width="13" hidden="0" customWidth="1"/>
    <x:col min="17" max="17" width="15" hidden="0" customWidth="1"/>
    <x:col min="18" max="18" width="14" hidden="0" customWidth="1"/>
    <x:col min="19" max="19" width="14" hidden="0" customWidth="1"/>
    <x:col min="20" max="20" width="15" hidden="0" customWidth="1"/>
    <x:col min="21" max="21" width="14" hidden="0" customWidth="1"/>
    <x:col min="22" max="22" width="34" hidden="0" customWidth="1"/>
    <x:col min="23" max="23" width="24" hidden="0" customWidth="1"/>
    <x:col min="24" max="24" width="12" hidden="0" customWidth="1"/>
    <x:col min="25" max="25" width="13" hidden="0" customWidth="1"/>
  </x:cols>
  <x:sheetData>
    <x:row r="1" ht="34" customHeight="1">
      <x:c r="A1" s="3" t="str">
        <x:v>Blind Review｜60 Anonymous Candidates</x:v>
      </x:c>
      <x:c r="B1" s="3"/>
      <x:c r="C1" s="3"/>
      <x:c r="D1" s="3"/>
      <x:c r="E1" s="3"/>
      <x:c r="F1" s="3"/>
      <x:c r="G1" s="3"/>
      <x:c r="H1" s="3"/>
      <x:c r="I1" s="3"/>
      <x:c r="J1" s="3"/>
      <x:c r="K1" s="3"/>
      <x:c r="L1" s="3"/>
      <x:c r="M1" s="3"/>
      <x:c r="N1" s="3"/>
      <x:c r="O1" s="3"/>
      <x:c r="P1" s="3"/>
      <x:c r="Q1" s="3"/>
      <x:c r="R1" s="3"/>
      <x:c r="S1" s="3"/>
      <x:c r="T1" s="3"/>
      <x:c r="U1" s="3"/>
      <x:c r="V1" s="3"/>
      <x:c r="W1" s="3"/>
      <x:c r="X1" s="3"/>
      <x:c r="Y1" s="3"/>
    </x:row>
    <x:row r="2">
      <x:c r="A2" s="6" t="str">
        <x:v>黄色单元格由人工填写；灰色列由公式计算。先看 Fact Reference 和 Rubric。不要打开 admin_do_not_open_before_scoring 文件夹。</x:v>
      </x:c>
      <x:c r="B2" s="6"/>
      <x:c r="C2" s="6"/>
      <x:c r="D2" s="6"/>
      <x:c r="E2" s="6"/>
      <x:c r="F2" s="6"/>
      <x:c r="G2" s="6"/>
      <x:c r="H2" s="6"/>
      <x:c r="I2" s="6"/>
      <x:c r="J2" s="6"/>
      <x:c r="K2" s="6"/>
      <x:c r="L2" s="6"/>
      <x:c r="M2" s="6"/>
      <x:c r="N2" s="6"/>
      <x:c r="O2" s="6"/>
      <x:c r="P2" s="6"/>
      <x:c r="Q2" s="6"/>
      <x:c r="R2" s="6"/>
      <x:c r="S2" s="6"/>
      <x:c r="T2" s="6"/>
      <x:c r="U2" s="6"/>
      <x:c r="V2" s="6"/>
      <x:c r="W2" s="6"/>
      <x:c r="X2" s="6"/>
      <x:c r="Y2" s="6"/>
    </x:row>
    <x:row r="3">
      <x:c r="A3" s="16" t="str">
        <x:v>Blind Order</x:v>
      </x:c>
      <x:c r="B3" s="45" t="str">
        <x:v>Candidate ID</x:v>
      </x:c>
      <x:c r="C3" s="45" t="str">
        <x:v>Group ID</x:v>
      </x:c>
      <x:c r="D3" s="45" t="str">
        <x:v>SKU</x:v>
      </x:c>
      <x:c r="E3" s="45" t="str">
        <x:v>Language</x:v>
      </x:c>
      <x:c r="F3" s="45" t="str">
        <x:v>Content Type</x:v>
      </x:c>
      <x:c r="G3" s="45" t="str">
        <x:v>Candidate</x:v>
      </x:c>
      <x:c r="H3" s="45" t="str">
        <x:v>Anonymous Content</x:v>
      </x:c>
      <x:c r="I3" s="45" t="str">
        <x:v>Fact Accuracy</x:v>
      </x:c>
      <x:c r="J3" s="45" t="str">
        <x:v>Information Completeness</x:v>
      </x:c>
      <x:c r="K3" s="45" t="str">
        <x:v>Language Naturalness</x:v>
      </x:c>
      <x:c r="L3" s="45" t="str">
        <x:v>Cultural Fit</x:v>
      </x:c>
      <x:c r="M3" s="45" t="str">
        <x:v>Brand Consistency</x:v>
      </x:c>
      <x:c r="N3" s="45" t="str">
        <x:v>Platform Fit</x:v>
      </x:c>
      <x:c r="O3" s="45" t="str">
        <x:v>Marketing Persuasiveness</x:v>
      </x:c>
      <x:c r="P3" s="45" t="str">
        <x:v>Publishability</x:v>
      </x:c>
      <x:c r="Q3" s="45" t="str">
        <x:v>Modification Count</x:v>
      </x:c>
      <x:c r="R3" s="45" t="str">
        <x:v>Review Minutes</x:v>
      </x:c>
      <x:c r="S3" s="45" t="str">
        <x:v>Review Date</x:v>
      </x:c>
      <x:c r="T3" s="45" t="str">
        <x:v>Reviewer ID</x:v>
      </x:c>
      <x:c r="U3" s="45" t="str">
        <x:v>Review Status</x:v>
      </x:c>
      <x:c r="V3" s="45" t="str">
        <x:v>Reviewer Comments</x:v>
      </x:c>
      <x:c r="W3" s="45" t="str">
        <x:v>Failure Tags</x:v>
      </x:c>
      <x:c r="X3" s="45" t="str">
        <x:v>Mean Score</x:v>
      </x:c>
      <x:c r="Y3" s="17" t="str">
        <x:v>Failure Flag</x:v>
      </x:c>
    </x:row>
    <x:row r="4" ht="112" customHeight="1">
      <x:c r="A4" s="54" t="n">
        <x:v>1</x:v>
      </x:c>
      <x:c r="B4" s="54" t="str">
        <x:v>G001-A</x:v>
      </x:c>
      <x:c r="C4" s="54" t="str">
        <x:v>G001</x:v>
      </x:c>
      <x:c r="D4" s="54" t="str">
        <x:v>MV-CREAM-001</x:v>
      </x:c>
      <x:c r="E4" s="54" t="str">
        <x:v>en-US</x:v>
      </x:c>
      <x:c r="F4" s="54" t="str">
        <x:v>short_video_script</x:v>
      </x:c>
      <x:c r="G4" s="54" t="str">
        <x:v>A</x:v>
      </x:c>
      <x:c r="H4" s="22" t="str">
        <x:v>0–3s: Show Fragrance-Free Face Cream. Voice: Moisturizes dry skin.
3–10s: Show use. Voice: Put a suitable amount on clean face and neck and use sunscreen in daytime.
10–15s: Show package. Text: 50 mL. Buy now.
CAPTION: Fragrance-Free Face Cream for daily skin care.</x:v>
      </x:c>
      <x:c r="I4" s="55" t="str">
        <x:v>Pass</x:v>
      </x:c>
      <x:c r="J4" s="55" t="n">
        <x:v>3</x:v>
      </x:c>
      <x:c r="K4" s="55" t="n">
        <x:v>3</x:v>
      </x:c>
      <x:c r="L4" s="55" t="n">
        <x:v>3</x:v>
      </x:c>
      <x:c r="M4" s="55" t="n">
        <x:v>4</x:v>
      </x:c>
      <x:c r="N4" s="55" t="n">
        <x:v>3</x:v>
      </x:c>
      <x:c r="O4" s="55" t="n">
        <x:v>3</x:v>
      </x:c>
      <x:c r="P4" s="55" t="n">
        <x:v>3</x:v>
      </x:c>
      <x:c r="Q4" s="55" t="n">
        <x:v>3</x:v>
      </x:c>
      <x:c r="R4" s="55" t="n">
        <x:v>5</x:v>
      </x:c>
      <x:c r="S4" s="58" t="n">
        <x:v>46231</x:v>
      </x:c>
      <x:c r="T4" s="55" t="str">
        <x:v>Reviewer-01</x:v>
      </x:c>
      <x:c r="U4" s="55" t="str">
        <x:v>Complete</x:v>
      </x:c>
      <x:c r="V4" s="50" t="str">
        <x:v>事实与15秒结构基本合格，但措辞偏泛且略生硬；建议强化差异化成分卖点并补充AIGC标识。</x:v>
      </x:c>
      <x:c r="W4" s="50" t="str">
        <x:v>None</x:v>
      </x:c>
      <x:c r="X4" s="57" t="n">
        <x:f>IF(COUNT(J4:P4)=7,AVERAGE(J4:P4),"")</x:f>
        <x:v>3.142857142857143</x:v>
      </x:c>
      <x:c r="Y4" s="56" t="str">
        <x:f>IF(U4&lt;&gt;"Complete","Pending",IF(OR(I4="",COUNT(J4:P4)&lt;7,Q4="",R4="",S4="",T4=""),"Incomplete",IF(OR(I4="Fail",P4&lt;=2,X4&lt;=3),"Failure","Reviewed")))</x:f>
        <x:v>Reviewed</x:v>
      </x:c>
    </x:row>
    <x:row r="5" ht="112" customHeight="1">
      <x:c r="A5" s="54" t="n">
        <x:v>2</x:v>
      </x:c>
      <x:c r="B5" s="54" t="str">
        <x:v>G001-B</x:v>
      </x:c>
      <x:c r="C5" s="54" t="str">
        <x:v>G001</x:v>
      </x:c>
      <x:c r="D5" s="54" t="str">
        <x:v>MV-CREAM-001</x:v>
      </x:c>
      <x:c r="E5" s="54" t="str">
        <x:v>en-US</x:v>
      </x:c>
      <x:c r="F5" s="54" t="str">
        <x:v>short_video_script</x:v>
      </x:c>
      <x:c r="G5" s="54" t="str">
        <x:v>B</x:v>
      </x:c>
      <x:c r="H5" s="22" t="str">
        <x:v>00:00–00:03 HOOK — Visual: Product in a simple routine. Voice: A fragrance-free moisturizing step.
00:03–00:08 VERIFIED FEATURE — Visual: Texture and package. Voice: A cream texture made without added fragrance.
00:08–00:13 USE + EXPERIENCE — Visual: Demonstrate use. Voice: Helps skin feel soft and moisturized. Apply to a clean face and neck; follow with sunscreen during the day.
00:13–00:15 CTA — On-screen: See product details.
CAPTION: Made with squalane, panthenol and beta-glucan to help skin feel soft and moisturized.</x:v>
      </x:c>
      <x:c r="I5" s="55" t="str">
        <x:v>Pass</x:v>
      </x:c>
      <x:c r="J5" s="55" t="n">
        <x:v>4</x:v>
      </x:c>
      <x:c r="K5" s="55" t="n">
        <x:v>5</x:v>
      </x:c>
      <x:c r="L5" s="55" t="n">
        <x:v>4</x:v>
      </x:c>
      <x:c r="M5" s="55" t="n">
        <x:v>5</x:v>
      </x:c>
      <x:c r="N5" s="55" t="n">
        <x:v>4</x:v>
      </x:c>
      <x:c r="O5" s="55" t="n">
        <x:v>4</x:v>
      </x:c>
      <x:c r="P5" s="55" t="n">
        <x:v>4</x:v>
      </x:c>
      <x:c r="Q5" s="55" t="n">
        <x:v>1</x:v>
      </x:c>
      <x:c r="R5" s="55" t="n">
        <x:v>4</x:v>
      </x:c>
      <x:c r="S5" s="58" t="n">
        <x:v>46231</x:v>
      </x:c>
      <x:c r="T5" s="55" t="str">
        <x:v>Reviewer-01</x:v>
      </x:c>
      <x:c r="U5" s="55" t="str">
        <x:v>Complete</x:v>
      </x:c>
      <x:c r="V5" s="50" t="str">
        <x:v>卖点、用法与CTA衔接清楚，语言自然且品牌语气克制；发布前补充AIGC标识即可。</x:v>
      </x:c>
      <x:c r="W5" s="50" t="str">
        <x:v>None</x:v>
      </x:c>
      <x:c r="X5" s="57" t="n">
        <x:f>IF(COUNT(J5:P5)=7,AVERAGE(J5:P5),"")</x:f>
        <x:v>4.285714285714286</x:v>
      </x:c>
      <x:c r="Y5" s="56" t="str">
        <x:f>IF(U5&lt;&gt;"Complete","Pending",IF(OR(I5="",COUNT(J5:P5)&lt;7,Q5="",R5="",S5="",T5=""),"Incomplete",IF(OR(I5="Fail",P5&lt;=2,X5&lt;=3),"Failure","Reviewed")))</x:f>
        <x:v>Reviewed</x:v>
      </x:c>
    </x:row>
    <x:row r="6" ht="112" customHeight="1">
      <x:c r="A6" s="54" t="n">
        <x:v>3</x:v>
      </x:c>
      <x:c r="B6" s="54" t="str">
        <x:v>G002-A</x:v>
      </x:c>
      <x:c r="C6" s="54" t="str">
        <x:v>G002</x:v>
      </x:c>
      <x:c r="D6" s="54" t="str">
        <x:v>MV-KIT-001</x:v>
      </x:c>
      <x:c r="E6" s="54" t="str">
        <x:v>en-US</x:v>
      </x:c>
      <x:c r="F6" s="54" t="str">
        <x:v>social_ad_copy</x:v>
      </x:c>
      <x:c r="G6" s="54" t="str">
        <x:v>A</x:v>
      </x:c>
      <x:c r="H6" s="22" t="str">
        <x:v>HOOK: Covers all of your skincare needs while traveling.
BODY: three fragrance-free mini products in one paper box. Contains a 30 mL cleanser, 10 mL serum and 15 mL moisturizer. Use cleanser first, serum second and cream third.
CTA: Buy now.</x:v>
      </x:c>
      <x:c r="I6" s="55" t="str">
        <x:v>Fail</x:v>
      </x:c>
      <x:c r="J6" s="55" t="n">
        <x:v>4</x:v>
      </x:c>
      <x:c r="K6" s="55" t="n">
        <x:v>3</x:v>
      </x:c>
      <x:c r="L6" s="55" t="n">
        <x:v>3</x:v>
      </x:c>
      <x:c r="M6" s="55" t="n">
        <x:v>1</x:v>
      </x:c>
      <x:c r="N6" s="55" t="n">
        <x:v>3</x:v>
      </x:c>
      <x:c r="O6" s="55" t="n">
        <x:v>3</x:v>
      </x:c>
      <x:c r="P6" s="55" t="n">
        <x:v>2</x:v>
      </x:c>
      <x:c r="Q6" s="55" t="n">
        <x:v>3</x:v>
      </x:c>
      <x:c r="R6" s="55" t="n">
        <x:v>6</x:v>
      </x:c>
      <x:c r="S6" s="58" t="n">
        <x:v>46231</x:v>
      </x:c>
      <x:c r="T6" s="55" t="str">
        <x:v>Reviewer-01</x:v>
      </x:c>
      <x:c r="U6" s="55" t="str">
        <x:v>Complete</x:v>
      </x:c>
      <x:c r="V6" s="50" t="str">
        <x:v>“Covers all of your skincare needs”属于明确越界的全能功效表述；需改写Hook并补齐平台与AI使用信息。</x:v>
      </x:c>
      <x:c r="W6" s="50" t="str">
        <x:v>Prohibited claim; Brand risk</x:v>
      </x:c>
      <x:c r="X6" s="57" t="n">
        <x:f>IF(COUNT(J6:P6)=7,AVERAGE(J6:P6),"")</x:f>
        <x:v>2.7142857142857144</x:v>
      </x:c>
      <x:c r="Y6" s="56" t="str">
        <x:f>IF(U6&lt;&gt;"Complete","Pending",IF(OR(I6="",COUNT(J6:P6)&lt;7,Q6="",R6="",S6="",T6=""),"Incomplete",IF(OR(I6="Fail",P6&lt;=2,X6&lt;=3),"Failure","Reviewed")))</x:f>
        <x:v>Failure</x:v>
      </x:c>
    </x:row>
    <x:row r="7" ht="112" customHeight="1">
      <x:c r="A7" s="54" t="n">
        <x:v>4</x:v>
      </x:c>
      <x:c r="B7" s="54" t="str">
        <x:v>G002-B</x:v>
      </x:c>
      <x:c r="C7" s="54" t="str">
        <x:v>G002</x:v>
      </x:c>
      <x:c r="D7" s="54" t="str">
        <x:v>MV-KIT-001</x:v>
      </x:c>
      <x:c r="E7" s="54" t="str">
        <x:v>en-US</x:v>
      </x:c>
      <x:c r="F7" s="54" t="str">
        <x:v>social_ad_copy</x:v>
      </x:c>
      <x:c r="G7" s="54" t="str">
        <x:v>B</x:v>
      </x:c>
      <x:c r="H7" s="22" t="str">
        <x:v>HOOK: Three simple steps in a travel-size set.
BODY: A fragrance-free cleanser, serum and moisturizer organized in one compact paper box. Use the cleanser, serum and moisturizer in that order, following each product's directions.
CTA: See product details.</x:v>
      </x:c>
      <x:c r="I7" s="55" t="str">
        <x:v>Pass</x:v>
      </x:c>
      <x:c r="J7" s="55" t="n">
        <x:v>3</x:v>
      </x:c>
      <x:c r="K7" s="55" t="n">
        <x:v>5</x:v>
      </x:c>
      <x:c r="L7" s="55" t="n">
        <x:v>4</x:v>
      </x:c>
      <x:c r="M7" s="55" t="n">
        <x:v>5</x:v>
      </x:c>
      <x:c r="N7" s="55" t="n">
        <x:v>4</x:v>
      </x:c>
      <x:c r="O7" s="55" t="n">
        <x:v>4</x:v>
      </x:c>
      <x:c r="P7" s="55" t="n">
        <x:v>4</x:v>
      </x:c>
      <x:c r="Q7" s="55" t="n">
        <x:v>1</x:v>
      </x:c>
      <x:c r="R7" s="55" t="n">
        <x:v>4</x:v>
      </x:c>
      <x:c r="S7" s="58" t="n">
        <x:v>46231</x:v>
      </x:c>
      <x:c r="T7" s="55" t="str">
        <x:v>Reviewer-01</x:v>
      </x:c>
      <x:c r="U7" s="55" t="str">
        <x:v>Complete</x:v>
      </x:c>
      <x:c r="V7" s="50" t="str">
        <x:v>三步旅行场景明确，表述可信且CTA适度；可补充容量信息和AI使用状态。</x:v>
      </x:c>
      <x:c r="W7" s="50" t="str">
        <x:v>None</x:v>
      </x:c>
      <x:c r="X7" s="57" t="n">
        <x:f>IF(COUNT(J7:P7)=7,AVERAGE(J7:P7),"")</x:f>
        <x:v>4.142857142857143</x:v>
      </x:c>
      <x:c r="Y7" s="56" t="str">
        <x:f>IF(U7&lt;&gt;"Complete","Pending",IF(OR(I7="",COUNT(J7:P7)&lt;7,Q7="",R7="",S7="",T7=""),"Incomplete",IF(OR(I7="Fail",P7&lt;=2,X7&lt;=3),"Failure","Reviewed")))</x:f>
        <x:v>Reviewed</x:v>
      </x:c>
    </x:row>
    <x:row r="8" ht="112" customHeight="1">
      <x:c r="A8" s="54" t="n">
        <x:v>5</x:v>
      </x:c>
      <x:c r="B8" s="54" t="str">
        <x:v>G003-A</x:v>
      </x:c>
      <x:c r="C8" s="54" t="str">
        <x:v>G003</x:v>
      </x:c>
      <x:c r="D8" s="54" t="str">
        <x:v>MV-HAND-001</x:v>
      </x:c>
      <x:c r="E8" s="54" t="str">
        <x:v>es-MX</x:v>
      </x:c>
      <x:c r="F8" s="54" t="str">
        <x:v>short_video_script</x:v>
      </x:c>
      <x:c r="G8" s="54" t="str">
        <x:v>A</x:v>
      </x:c>
      <x:c r="H8" s="22" t="str">
        <x:v>0–3 s: Muestra Crema humectante de mano. Voz: Repara las manos secas después de lavarlas.
3–10 s: Muestra uso. Voz: Aplica en manos y bordes de uñas repetidamente cuando sea necesario.
10–15 s: Muestra empaque. Texto: 60 mL. Compra ahora.
TEXTO: Crema humectante de mano para el cuidado diario de piel.</x:v>
      </x:c>
      <x:c r="I8" s="55" t="str">
        <x:v>Fail</x:v>
      </x:c>
      <x:c r="J8" s="55" t="n">
        <x:v>3</x:v>
      </x:c>
      <x:c r="K8" s="55" t="n">
        <x:v>2</x:v>
      </x:c>
      <x:c r="L8" s="55" t="n">
        <x:v>2</x:v>
      </x:c>
      <x:c r="M8" s="55" t="n">
        <x:v>1</x:v>
      </x:c>
      <x:c r="N8" s="55" t="n">
        <x:v>3</x:v>
      </x:c>
      <x:c r="O8" s="55" t="n">
        <x:v>2</x:v>
      </x:c>
      <x:c r="P8" s="55" t="n">
        <x:v>2</x:v>
      </x:c>
      <x:c r="Q8" s="55" t="n">
        <x:v>4</x:v>
      </x:c>
      <x:c r="R8" s="55" t="n">
        <x:v>7</x:v>
      </x:c>
      <x:c r="S8" s="58" t="n">
        <x:v>46231</x:v>
      </x:c>
      <x:c r="T8" s="55" t="str">
        <x:v>Reviewer-01</x:v>
      </x:c>
      <x:c r="U8" s="55" t="str">
        <x:v>Complete</x:v>
      </x:c>
      <x:c r="V8" s="50" t="str">
        <x:v>“Repara las manos secas”超出允许的柔软、滋润感边界，且多处西语搭配生硬；需要重写功效与文案。</x:v>
      </x:c>
      <x:c r="W8" s="50" t="str">
        <x:v>Prohibited claim; Language issue</x:v>
      </x:c>
      <x:c r="X8" s="57" t="n">
        <x:f>IF(COUNT(J8:P8)=7,AVERAGE(J8:P8),"")</x:f>
        <x:v>2.142857142857143</x:v>
      </x:c>
      <x:c r="Y8" s="56" t="str">
        <x:f>IF(U8&lt;&gt;"Complete","Pending",IF(OR(I8="",COUNT(J8:P8)&lt;7,Q8="",R8="",S8="",T8=""),"Incomplete",IF(OR(I8="Fail",P8&lt;=2,X8&lt;=3),"Failure","Reviewed")))</x:f>
        <x:v>Failure</x:v>
      </x:c>
    </x:row>
    <x:row r="9" ht="112" customHeight="1">
      <x:c r="A9" s="54" t="n">
        <x:v>6</x:v>
      </x:c>
      <x:c r="B9" s="54" t="str">
        <x:v>G003-B</x:v>
      </x:c>
      <x:c r="C9" s="54" t="str">
        <x:v>G003</x:v>
      </x:c>
      <x:c r="D9" s="54" t="str">
        <x:v>MV-HAND-001</x:v>
      </x:c>
      <x:c r="E9" s="54" t="str">
        <x:v>es-MX</x:v>
      </x:c>
      <x:c r="F9" s="54" t="str">
        <x:v>short_video_script</x:v>
      </x:c>
      <x:c r="G9" s="54" t="str">
        <x:v>B</x:v>
      </x:c>
      <x:c r="H9" s="22" t="str">
        <x:v>00:00–00:03 GANCHO — Visual: Producto en una rutina sencilla. Voz: Un paso sencillo para las manos después del lavado.
00:03–00:08 CARACTERÍSTICA — Visual: Textura y envase. Voz: Sin fragancia añadida y en tubo de aluminio.
00:08–00:13 USO + EXPERIENCIA — Visual: Demostración de uso. Voz: Ayuda a que las manos se sientan suaves e hidratadas después del lavado diario. Masajea las manos y el contorno de las uñas según sea necesario; solo para uso externo.
00:13–00:15 CTA — Texto en pantalla: Consulta los detalles.
TEXTO: Con glicerina, manteca de karité, pantenol y alantoína para ayudar a que las manos se sientan suaves e hidratadas.</x:v>
      </x:c>
      <x:c r="I9" s="55" t="str">
        <x:v>Fail</x:v>
      </x:c>
      <x:c r="J9" s="55" t="n">
        <x:v>4</x:v>
      </x:c>
      <x:c r="K9" s="55" t="n">
        <x:v>4</x:v>
      </x:c>
      <x:c r="L9" s="55" t="n">
        <x:v>4</x:v>
      </x:c>
      <x:c r="M9" s="55" t="n">
        <x:v>4</x:v>
      </x:c>
      <x:c r="N9" s="55" t="n">
        <x:v>4</x:v>
      </x:c>
      <x:c r="O9" s="55" t="n">
        <x:v>4</x:v>
      </x:c>
      <x:c r="P9" s="55" t="n">
        <x:v>2</x:v>
      </x:c>
      <x:c r="Q9" s="55" t="n">
        <x:v>2</x:v>
      </x:c>
      <x:c r="R9" s="55" t="n">
        <x:v>5</x:v>
      </x:c>
      <x:c r="S9" s="58" t="n">
        <x:v>46231</x:v>
      </x:c>
      <x:c r="T9" s="55" t="str">
        <x:v>Reviewer-01</x:v>
      </x:c>
      <x:c r="U9" s="55" t="str">
        <x:v>Complete</x:v>
      </x:c>
      <x:c r="V9" s="50" t="str">
        <x:v>整体脚本自然完整，但“tubo de aluminio”与事实参考中的软管包装不一致；修正包装并补充AIGC标识。</x:v>
      </x:c>
      <x:c r="W9" s="50" t="str">
        <x:v>Packaging mismatch</x:v>
      </x:c>
      <x:c r="X9" s="57" t="n">
        <x:f>IF(COUNT(J9:P9)=7,AVERAGE(J9:P9),"")</x:f>
        <x:v>3.7142857142857144</x:v>
      </x:c>
      <x:c r="Y9" s="56" t="str">
        <x:f>IF(U9&lt;&gt;"Complete","Pending",IF(OR(I9="",COUNT(J9:P9)&lt;7,Q9="",R9="",S9="",T9=""),"Incomplete",IF(OR(I9="Fail",P9&lt;=2,X9&lt;=3),"Failure","Reviewed")))</x:f>
        <x:v>Failure</x:v>
      </x:c>
    </x:row>
    <x:row r="10" ht="112" customHeight="1">
      <x:c r="A10" s="54" t="n">
        <x:v>7</x:v>
      </x:c>
      <x:c r="B10" s="54" t="str">
        <x:v>G004-A</x:v>
      </x:c>
      <x:c r="C10" s="54" t="str">
        <x:v>G004</x:v>
      </x:c>
      <x:c r="D10" s="54" t="str">
        <x:v>MV-KIT-001</x:v>
      </x:c>
      <x:c r="E10" s="54" t="str">
        <x:v>es-MX</x:v>
      </x:c>
      <x:c r="F10" s="54" t="str">
        <x:v>short_video_script</x:v>
      </x:c>
      <x:c r="G10" s="54" t="str">
        <x:v>A</x:v>
      </x:c>
      <x:c r="H10" s="22" t="str">
        <x:v>00:00–00:03 GANCHO — Visual: Producto en una rutina sencilla. Voz: Tres pasos sencillos en un set para viaje.
00:03–00:08 CARACTERÍSTICA — Visual: Textura y envase. Voz: Tres productos mini sin fragancia añadida en una caja de cartón.
00:08–00:13 USO + EXPERIENCIA — Visual: Demostración de uso. Voz: Combina pasos básicos de limpieza, hidratación y humectación para llevar menos. Usa el limpiador, el sérum y la crema hidratante en ese orden, siguiendo las indicaciones de cada producto.
00:13–00:15 CTA — Texto en pantalla: Consulta los detalles.
TEXTO: Limpiador, sérum y crema hidratante sin fragancia añadida, reunidos en una caja compacta.</x:v>
      </x:c>
      <x:c r="I10" s="55" t="str">
        <x:v>Pass</x:v>
      </x:c>
      <x:c r="J10" s="55" t="n">
        <x:v>4</x:v>
      </x:c>
      <x:c r="K10" s="55" t="n">
        <x:v>5</x:v>
      </x:c>
      <x:c r="L10" s="55" t="n">
        <x:v>4</x:v>
      </x:c>
      <x:c r="M10" s="55" t="n">
        <x:v>5</x:v>
      </x:c>
      <x:c r="N10" s="55" t="n">
        <x:v>4</x:v>
      </x:c>
      <x:c r="O10" s="55" t="n">
        <x:v>4</x:v>
      </x:c>
      <x:c r="P10" s="55" t="n">
        <x:v>4</x:v>
      </x:c>
      <x:c r="Q10" s="55" t="n">
        <x:v>1</x:v>
      </x:c>
      <x:c r="R10" s="55" t="n">
        <x:v>4</x:v>
      </x:c>
      <x:c r="S10" s="58" t="n">
        <x:v>46231</x:v>
      </x:c>
      <x:c r="T10" s="55" t="str">
        <x:v>Reviewer-01</x:v>
      </x:c>
      <x:c r="U10" s="55" t="str">
        <x:v>Complete</x:v>
      </x:c>
      <x:c r="V10" s="50" t="str">
        <x:v>旅行三步骤、产品组合和使用顺序表达清楚，西语流畅；仅需补充AIGC标识。</x:v>
      </x:c>
      <x:c r="W10" s="50" t="str">
        <x:v>None</x:v>
      </x:c>
      <x:c r="X10" s="57" t="n">
        <x:f>IF(COUNT(J10:P10)=7,AVERAGE(J10:P10),"")</x:f>
        <x:v>4.285714285714286</x:v>
      </x:c>
      <x:c r="Y10" s="56" t="str">
        <x:f>IF(U10&lt;&gt;"Complete","Pending",IF(OR(I10="",COUNT(J10:P10)&lt;7,Q10="",R10="",S10="",T10=""),"Incomplete",IF(OR(I10="Fail",P10&lt;=2,X10&lt;=3),"Failure","Reviewed")))</x:f>
        <x:v>Reviewed</x:v>
      </x:c>
    </x:row>
    <x:row r="11" ht="112" customHeight="1">
      <x:c r="A11" s="54" t="n">
        <x:v>8</x:v>
      </x:c>
      <x:c r="B11" s="54" t="str">
        <x:v>G004-B</x:v>
      </x:c>
      <x:c r="C11" s="54" t="str">
        <x:v>G004</x:v>
      </x:c>
      <x:c r="D11" s="54" t="str">
        <x:v>MV-KIT-001</x:v>
      </x:c>
      <x:c r="E11" s="54" t="str">
        <x:v>es-MX</x:v>
      </x:c>
      <x:c r="F11" s="54" t="str">
        <x:v>short_video_script</x:v>
      </x:c>
      <x:c r="G11" s="54" t="str">
        <x:v>B</x:v>
      </x:c>
      <x:c r="H11" s="22" t="str">
        <x:v>0–3 s: Muestra Kit de cuidado de piel para viaje. Voz: Cubre todas tus necesidades de piel cuando viajas.
3–10 s: Muestra uso. Voz: Usa primero limpiador, segundo serum y tercero crema.
10–15 s: Muestra empaque. Texto: 3 pieces / 55 mL total. Compra ahora.
TEXTO: Kit de cuidado de piel para viaje para el cuidado diario de piel.</x:v>
      </x:c>
      <x:c r="I11" s="55" t="str">
        <x:v>Fail</x:v>
      </x:c>
      <x:c r="J11" s="55" t="n">
        <x:v>3</x:v>
      </x:c>
      <x:c r="K11" s="55" t="n">
        <x:v>2</x:v>
      </x:c>
      <x:c r="L11" s="55" t="n">
        <x:v>2</x:v>
      </x:c>
      <x:c r="M11" s="55" t="n">
        <x:v>1</x:v>
      </x:c>
      <x:c r="N11" s="55" t="n">
        <x:v>3</x:v>
      </x:c>
      <x:c r="O11" s="55" t="n">
        <x:v>2</x:v>
      </x:c>
      <x:c r="P11" s="55" t="n">
        <x:v>2</x:v>
      </x:c>
      <x:c r="Q11" s="55" t="n">
        <x:v>4</x:v>
      </x:c>
      <x:c r="R11" s="55" t="n">
        <x:v>7</x:v>
      </x:c>
      <x:c r="S11" s="58" t="n">
        <x:v>46231</x:v>
      </x:c>
      <x:c r="T11" s="55" t="str">
        <x:v>Reviewer-01</x:v>
      </x:c>
      <x:c r="U11" s="55" t="str">
        <x:v>Complete</x:v>
      </x:c>
      <x:c r="V11" s="50" t="str">
        <x:v>“Cubre todas tus necesidades”构成禁止的全能表述，且中英混排与措辞削弱墨西哥市场适配；需较大改写。</x:v>
      </x:c>
      <x:c r="W11" s="50" t="str">
        <x:v>Prohibited claim; Localization issue</x:v>
      </x:c>
      <x:c r="X11" s="57" t="n">
        <x:f>IF(COUNT(J11:P11)=7,AVERAGE(J11:P11),"")</x:f>
        <x:v>2.142857142857143</x:v>
      </x:c>
      <x:c r="Y11" s="56" t="str">
        <x:f>IF(U11&lt;&gt;"Complete","Pending",IF(OR(I11="",COUNT(J11:P11)&lt;7,Q11="",R11="",S11="",T11=""),"Incomplete",IF(OR(I11="Fail",P11&lt;=2,X11&lt;=3),"Failure","Reviewed")))</x:f>
        <x:v>Failure</x:v>
      </x:c>
    </x:row>
    <x:row r="12" ht="112" customHeight="1">
      <x:c r="A12" s="54" t="n">
        <x:v>9</x:v>
      </x:c>
      <x:c r="B12" s="54" t="str">
        <x:v>G005-A</x:v>
      </x:c>
      <x:c r="C12" s="54" t="str">
        <x:v>G005</x:v>
      </x:c>
      <x:c r="D12" s="54" t="str">
        <x:v>MV-CLEAN-001</x:v>
      </x:c>
      <x:c r="E12" s="54" t="str">
        <x:v>es-MX</x:v>
      </x:c>
      <x:c r="F12" s="54" t="str">
        <x:v>social_ad_copy</x:v>
      </x:c>
      <x:c r="G12" s="54" t="str">
        <x:v>A</x:v>
      </x:c>
      <x:c r="H12" s="22" t="str">
        <x:v>GANCHO: Elimina la suciedad y el exceso de grasa de la piel.
TEXTO: Sin fragancia añadida ni tensioactivos con sulfatos. Contiene glicerina, glicinato de cocoilo de sodio y pantenol. Usa 1–2 bombas en la cara mojada, masajea 30 segundos y lava con agua.
CTA: Compra ahora.</x:v>
      </x:c>
      <x:c r="I12" s="55" t="str">
        <x:v>Pass</x:v>
      </x:c>
      <x:c r="J12" s="55" t="n">
        <x:v>4</x:v>
      </x:c>
      <x:c r="K12" s="55" t="n">
        <x:v>4</x:v>
      </x:c>
      <x:c r="L12" s="55" t="n">
        <x:v>4</x:v>
      </x:c>
      <x:c r="M12" s="55" t="n">
        <x:v>4</x:v>
      </x:c>
      <x:c r="N12" s="55" t="n">
        <x:v>3</x:v>
      </x:c>
      <x:c r="O12" s="55" t="n">
        <x:v>4</x:v>
      </x:c>
      <x:c r="P12" s="55" t="n">
        <x:v>4</x:v>
      </x:c>
      <x:c r="Q12" s="55" t="n">
        <x:v>2</x:v>
      </x:c>
      <x:c r="R12" s="55" t="n">
        <x:v>5</x:v>
      </x:c>
      <x:c r="S12" s="58" t="n">
        <x:v>46231</x:v>
      </x:c>
      <x:c r="T12" s="55" t="str">
        <x:v>Reviewer-01</x:v>
      </x:c>
      <x:c r="U12" s="55" t="str">
        <x:v>Complete</x:v>
      </x:c>
      <x:c r="V12" s="50" t="str">
        <x:v>主要成分、用量与清洁利益点准确；建议将措辞改得更审慎，并补充具体平台和AI使用状态。</x:v>
      </x:c>
      <x:c r="W12" s="50" t="str">
        <x:v>None</x:v>
      </x:c>
      <x:c r="X12" s="57" t="n">
        <x:f>IF(COUNT(J12:P12)=7,AVERAGE(J12:P12),"")</x:f>
        <x:v>3.857142857142857</x:v>
      </x:c>
      <x:c r="Y12" s="56" t="str">
        <x:f>IF(U12&lt;&gt;"Complete","Pending",IF(OR(I12="",COUNT(J12:P12)&lt;7,Q12="",R12="",S12="",T12=""),"Incomplete",IF(OR(I12="Fail",P12&lt;=2,X12&lt;=3),"Failure","Reviewed")))</x:f>
        <x:v>Reviewed</x:v>
      </x:c>
    </x:row>
    <x:row r="13" ht="112" customHeight="1">
      <x:c r="A13" s="54" t="n">
        <x:v>10</x:v>
      </x:c>
      <x:c r="B13" s="54" t="str">
        <x:v>G005-B</x:v>
      </x:c>
      <x:c r="C13" s="54" t="str">
        <x:v>G005</x:v>
      </x:c>
      <x:c r="D13" s="54" t="str">
        <x:v>MV-CLEAN-001</x:v>
      </x:c>
      <x:c r="E13" s="54" t="str">
        <x:v>es-MX</x:v>
      </x:c>
      <x:c r="F13" s="54" t="str">
        <x:v>social_ad_copy</x:v>
      </x:c>
      <x:c r="G13" s="54" t="str">
        <x:v>B</x:v>
      </x:c>
      <x:c r="H13" s="22" t="str">
        <x:v>GANCHO: Un inicio claro y sin fragancia añadida para tu rutina.
TEXTO: Sin fragancia añadida ni tensioactivos con sulfatos; ayuda a retirar la suciedad superficial y el exceso de grasa. Masajea de 1 a 2 dosis sobre el rostro húmedo durante unos 30 segundos, enjuaga y evita el contorno de ojos.
CTA: Consulta los detalles.</x:v>
      </x:c>
      <x:c r="I13" s="55" t="str">
        <x:v>Pass</x:v>
      </x:c>
      <x:c r="J13" s="55" t="n">
        <x:v>4</x:v>
      </x:c>
      <x:c r="K13" s="55" t="n">
        <x:v>5</x:v>
      </x:c>
      <x:c r="L13" s="55" t="n">
        <x:v>4</x:v>
      </x:c>
      <x:c r="M13" s="55" t="n">
        <x:v>5</x:v>
      </x:c>
      <x:c r="N13" s="55" t="n">
        <x:v>4</x:v>
      </x:c>
      <x:c r="O13" s="55" t="n">
        <x:v>4</x:v>
      </x:c>
      <x:c r="P13" s="55" t="n">
        <x:v>4</x:v>
      </x:c>
      <x:c r="Q13" s="55" t="n">
        <x:v>1</x:v>
      </x:c>
      <x:c r="R13" s="55" t="n">
        <x:v>4</x:v>
      </x:c>
      <x:c r="S13" s="58" t="n">
        <x:v>46231</x:v>
      </x:c>
      <x:c r="T13" s="55" t="str">
        <x:v>Reviewer-01</x:v>
      </x:c>
      <x:c r="U13" s="55" t="str">
        <x:v>Complete</x:v>
      </x:c>
      <x:c r="V13" s="50" t="str">
        <x:v>利益点限定清楚，用法与避开眼周信息完整，CTA克制；发布前补充平台元数据。</x:v>
      </x:c>
      <x:c r="W13" s="50" t="str">
        <x:v>None</x:v>
      </x:c>
      <x:c r="X13" s="57" t="n">
        <x:f>IF(COUNT(J13:P13)=7,AVERAGE(J13:P13),"")</x:f>
        <x:v>4.285714285714286</x:v>
      </x:c>
      <x:c r="Y13" s="56" t="str">
        <x:f>IF(U13&lt;&gt;"Complete","Pending",IF(OR(I13="",COUNT(J13:P13)&lt;7,Q13="",R13="",S13="",T13=""),"Incomplete",IF(OR(I13="Fail",P13&lt;=2,X13&lt;=3),"Failure","Reviewed")))</x:f>
        <x:v>Reviewed</x:v>
      </x:c>
    </x:row>
    <x:row r="14" ht="112" customHeight="1">
      <x:c r="A14" s="54" t="n">
        <x:v>11</x:v>
      </x:c>
      <x:c r="B14" s="54" t="str">
        <x:v>G006-A</x:v>
      </x:c>
      <x:c r="C14" s="54" t="str">
        <x:v>G006</x:v>
      </x:c>
      <x:c r="D14" s="54" t="str">
        <x:v>MV-HAND-001</x:v>
      </x:c>
      <x:c r="E14" s="54" t="str">
        <x:v>en-US</x:v>
      </x:c>
      <x:c r="F14" s="54" t="str">
        <x:v>short_video_script</x:v>
      </x:c>
      <x:c r="G14" s="54" t="str">
        <x:v>A</x:v>
      </x:c>
      <x:c r="H14" s="22" t="str">
        <x:v>00:00–00:03 HOOK — Visual: Product in a simple routine. Voice: A simple hand-care step after washing.
00:03–00:08 VERIFIED FEATURE — Visual: Texture and package. Voice: Made without added fragrance in an aluminum tube.
00:08–00:13 USE + EXPERIENCE — Visual: Demonstrate use. Voice: Helps hands feel soft and moisturized after everyday washing. Massage into hands and around the nails as needed; for external use only.
00:13–00:15 CTA — On-screen: See product details.
CAPTION: Made with glycerin, shea butter, panthenol and allantoin to help hands feel soft and moisturized.</x:v>
      </x:c>
      <x:c r="I14" s="55" t="str">
        <x:v>Fail</x:v>
      </x:c>
      <x:c r="J14" s="55" t="n">
        <x:v>4</x:v>
      </x:c>
      <x:c r="K14" s="55" t="n">
        <x:v>5</x:v>
      </x:c>
      <x:c r="L14" s="55" t="n">
        <x:v>4</x:v>
      </x:c>
      <x:c r="M14" s="55" t="n">
        <x:v>4</x:v>
      </x:c>
      <x:c r="N14" s="55" t="n">
        <x:v>4</x:v>
      </x:c>
      <x:c r="O14" s="55" t="n">
        <x:v>4</x:v>
      </x:c>
      <x:c r="P14" s="55" t="n">
        <x:v>2</x:v>
      </x:c>
      <x:c r="Q14" s="55" t="n">
        <x:v>2</x:v>
      </x:c>
      <x:c r="R14" s="55" t="n">
        <x:v>5</x:v>
      </x:c>
      <x:c r="S14" s="58" t="n">
        <x:v>46231</x:v>
      </x:c>
      <x:c r="T14" s="55" t="str">
        <x:v>Reviewer-01</x:v>
      </x:c>
      <x:c r="U14" s="55" t="str">
        <x:v>Complete</x:v>
      </x:c>
      <x:c r="V14" s="50" t="str">
        <x:v>脚本节奏与语言表现良好，但“aluminum tube”与事实参考中的软管包装不一致；需修正包装陈述。</x:v>
      </x:c>
      <x:c r="W14" s="50" t="str">
        <x:v>Packaging mismatch</x:v>
      </x:c>
      <x:c r="X14" s="57" t="n">
        <x:f>IF(COUNT(J14:P14)=7,AVERAGE(J14:P14),"")</x:f>
        <x:v>3.857142857142857</x:v>
      </x:c>
      <x:c r="Y14" s="56" t="str">
        <x:f>IF(U14&lt;&gt;"Complete","Pending",IF(OR(I14="",COUNT(J14:P14)&lt;7,Q14="",R14="",S14="",T14=""),"Incomplete",IF(OR(I14="Fail",P14&lt;=2,X14&lt;=3),"Failure","Reviewed")))</x:f>
        <x:v>Failure</x:v>
      </x:c>
    </x:row>
    <x:row r="15" ht="112" customHeight="1">
      <x:c r="A15" s="54" t="n">
        <x:v>12</x:v>
      </x:c>
      <x:c r="B15" s="54" t="str">
        <x:v>G006-B</x:v>
      </x:c>
      <x:c r="C15" s="54" t="str">
        <x:v>G006</x:v>
      </x:c>
      <x:c r="D15" s="54" t="str">
        <x:v>MV-HAND-001</x:v>
      </x:c>
      <x:c r="E15" s="54" t="str">
        <x:v>en-US</x:v>
      </x:c>
      <x:c r="F15" s="54" t="str">
        <x:v>short_video_script</x:v>
      </x:c>
      <x:c r="G15" s="54" t="str">
        <x:v>B</x:v>
      </x:c>
      <x:c r="H15" s="22" t="str">
        <x:v>0–3s: Show Hand Moisturizing Cream. Voice: Repairs dry hands after washing.
3–10s: Show use. Voice: Apply to hands and nail edges repeatedly when needed.
10–15s: Show package. Text: 60 mL. Buy now.
CAPTION: Hand Moisturizing Cream for daily skin care.</x:v>
      </x:c>
      <x:c r="I15" s="55" t="str">
        <x:v>Fail</x:v>
      </x:c>
      <x:c r="J15" s="55" t="n">
        <x:v>3</x:v>
      </x:c>
      <x:c r="K15" s="55" t="n">
        <x:v>3</x:v>
      </x:c>
      <x:c r="L15" s="55" t="n">
        <x:v>3</x:v>
      </x:c>
      <x:c r="M15" s="55" t="n">
        <x:v>1</x:v>
      </x:c>
      <x:c r="N15" s="55" t="n">
        <x:v>3</x:v>
      </x:c>
      <x:c r="O15" s="55" t="n">
        <x:v>2</x:v>
      </x:c>
      <x:c r="P15" s="55" t="n">
        <x:v>2</x:v>
      </x:c>
      <x:c r="Q15" s="55" t="n">
        <x:v>4</x:v>
      </x:c>
      <x:c r="R15" s="55" t="n">
        <x:v>6</x:v>
      </x:c>
      <x:c r="S15" s="58" t="n">
        <x:v>46231</x:v>
      </x:c>
      <x:c r="T15" s="55" t="str">
        <x:v>Reviewer-01</x:v>
      </x:c>
      <x:c r="U15" s="55" t="str">
        <x:v>Complete</x:v>
      </x:c>
      <x:c r="V15" s="50" t="str">
        <x:v>“Repairs dry hands”超出允许的感受型功效边界，语言也较模板化；需重写Hook、功效和AIGC信息。</x:v>
      </x:c>
      <x:c r="W15" s="50" t="str">
        <x:v>Prohibited claim; Brand risk</x:v>
      </x:c>
      <x:c r="X15" s="57" t="n">
        <x:f>IF(COUNT(J15:P15)=7,AVERAGE(J15:P15),"")</x:f>
        <x:v>2.4285714285714284</x:v>
      </x:c>
      <x:c r="Y15" s="56" t="str">
        <x:f>IF(U15&lt;&gt;"Complete","Pending",IF(OR(I15="",COUNT(J15:P15)&lt;7,Q15="",R15="",S15="",T15=""),"Incomplete",IF(OR(I15="Fail",P15&lt;=2,X15&lt;=3),"Failure","Reviewed")))</x:f>
        <x:v>Failure</x:v>
      </x:c>
    </x:row>
    <x:row r="16" ht="112" customHeight="1">
      <x:c r="A16" s="54" t="n">
        <x:v>13</x:v>
      </x:c>
      <x:c r="B16" s="54" t="str">
        <x:v>G007-A</x:v>
      </x:c>
      <x:c r="C16" s="54" t="str">
        <x:v>G007</x:v>
      </x:c>
      <x:c r="D16" s="54" t="str">
        <x:v>MV-HAND-001</x:v>
      </x:c>
      <x:c r="E16" s="54" t="str">
        <x:v>en-US</x:v>
      </x:c>
      <x:c r="F16" s="54" t="str">
        <x:v>product_listing</x:v>
      </x:c>
      <x:c r="G16" s="54" t="str">
        <x:v>A</x:v>
      </x:c>
      <x:c r="H16" s="22" t="str">
        <x:v>TITLE: Mirevane Botanics Fragrance-Free Hand Cream, 60 mL
BULLET 1: Made without added fragrance in an aluminum tube.
BULLET 2: Made with glycerin, shea butter, panthenol and allantoin.
BULLET 3: Helps hands feel soft and moisturized after everyday washing.
BULLET 4: Massage into hands and around the nails as needed; for external use only.
BULLET 5: Presented in a 60 mL aluminum tube with a PP cap.
DESCRIPTION: A simple hand-care step after washing. Made with glycerin, shea butter, panthenol and allantoin to help hands feel soft and moisturized. Massage into hands and around the nails as needed; for external use only.</x:v>
      </x:c>
      <x:c r="I16" s="55" t="str">
        <x:v>Fail</x:v>
      </x:c>
      <x:c r="J16" s="55" t="n">
        <x:v>5</x:v>
      </x:c>
      <x:c r="K16" s="55" t="n">
        <x:v>5</x:v>
      </x:c>
      <x:c r="L16" s="55" t="n">
        <x:v>4</x:v>
      </x:c>
      <x:c r="M16" s="55" t="n">
        <x:v>4</x:v>
      </x:c>
      <x:c r="N16" s="55" t="n">
        <x:v>4</x:v>
      </x:c>
      <x:c r="O16" s="55" t="n">
        <x:v>4</x:v>
      </x:c>
      <x:c r="P16" s="55" t="n">
        <x:v>2</x:v>
      </x:c>
      <x:c r="Q16" s="55" t="n">
        <x:v>2</x:v>
      </x:c>
      <x:c r="R16" s="55" t="n">
        <x:v>6</x:v>
      </x:c>
      <x:c r="S16" s="58" t="n">
        <x:v>46231</x:v>
      </x:c>
      <x:c r="T16" s="55" t="str">
        <x:v>Reviewer-01</x:v>
      </x:c>
      <x:c r="U16" s="55" t="str">
        <x:v>Complete</x:v>
      </x:c>
      <x:c r="V16" s="50" t="str">
        <x:v>Listing结构与卖点完整，但铝管及PP盖材质未获事实参考支持且与软管描述不一致；需核验或删除。</x:v>
      </x:c>
      <x:c r="W16" s="50" t="str">
        <x:v>Unsupported packaging</x:v>
      </x:c>
      <x:c r="X16" s="57" t="n">
        <x:f>IF(COUNT(J16:P16)=7,AVERAGE(J16:P16),"")</x:f>
        <x:v>4</x:v>
      </x:c>
      <x:c r="Y16" s="56" t="str">
        <x:f>IF(U16&lt;&gt;"Complete","Pending",IF(OR(I16="",COUNT(J16:P16)&lt;7,Q16="",R16="",S16="",T16=""),"Incomplete",IF(OR(I16="Fail",P16&lt;=2,X16&lt;=3),"Failure","Reviewed")))</x:f>
        <x:v>Failure</x:v>
      </x:c>
    </x:row>
    <x:row r="17" ht="112" customHeight="1">
      <x:c r="A17" s="54" t="n">
        <x:v>14</x:v>
      </x:c>
      <x:c r="B17" s="54" t="str">
        <x:v>G007-B</x:v>
      </x:c>
      <x:c r="C17" s="54" t="str">
        <x:v>G007</x:v>
      </x:c>
      <x:c r="D17" s="54" t="str">
        <x:v>MV-HAND-001</x:v>
      </x:c>
      <x:c r="E17" s="54" t="str">
        <x:v>en-US</x:v>
      </x:c>
      <x:c r="F17" s="54" t="str">
        <x:v>product_listing</x:v>
      </x:c>
      <x:c r="G17" s="54" t="str">
        <x:v>B</x:v>
      </x:c>
      <x:c r="H17" s="22" t="str">
        <x:v>TITLE: Mirevane Botanics Hand Moisturizing Cream, 60 mL
BULLET 1: made without added fragrance in an aluminum tube.
BULLET 2: Contains glycerin, shea butter, panthenol and allantoin.
BULLET 3: Repairs dry hands after washing.
DESCRIPTION: Apply to hands and nail edges repeatedly when needed. Package: 60 mL aluminum tube with a PP cap.</x:v>
      </x:c>
      <x:c r="I17" s="55" t="str">
        <x:v>Fail</x:v>
      </x:c>
      <x:c r="J17" s="55" t="n">
        <x:v>3</x:v>
      </x:c>
      <x:c r="K17" s="55" t="n">
        <x:v>3</x:v>
      </x:c>
      <x:c r="L17" s="55" t="n">
        <x:v>3</x:v>
      </x:c>
      <x:c r="M17" s="55" t="n">
        <x:v>1</x:v>
      </x:c>
      <x:c r="N17" s="55" t="n">
        <x:v>2</x:v>
      </x:c>
      <x:c r="O17" s="55" t="n">
        <x:v>2</x:v>
      </x:c>
      <x:c r="P17" s="55" t="n">
        <x:v>1</x:v>
      </x:c>
      <x:c r="Q17" s="55" t="n">
        <x:v>5</x:v>
      </x:c>
      <x:c r="R17" s="55" t="n">
        <x:v>8</x:v>
      </x:c>
      <x:c r="S17" s="58" t="n">
        <x:v>46231</x:v>
      </x:c>
      <x:c r="T17" s="55" t="str">
        <x:v>Reviewer-01</x:v>
      </x:c>
      <x:c r="U17" s="55" t="str">
        <x:v>Complete</x:v>
      </x:c>
      <x:c r="V17" s="50" t="str">
        <x:v>仅有3个要点，不符合Listing最低结构；同时包含“Repairs”越界功效及不一致的铝管材质，需要重写。</x:v>
      </x:c>
      <x:c r="W17" s="50" t="str">
        <x:v>Prohibited claim; Unsupported packaging; Platform structure</x:v>
      </x:c>
      <x:c r="X17" s="57" t="n">
        <x:f>IF(COUNT(J17:P17)=7,AVERAGE(J17:P17),"")</x:f>
        <x:v>2.142857142857143</x:v>
      </x:c>
      <x:c r="Y17" s="56" t="str">
        <x:f>IF(U17&lt;&gt;"Complete","Pending",IF(OR(I17="",COUNT(J17:P17)&lt;7,Q17="",R17="",S17="",T17=""),"Incomplete",IF(OR(I17="Fail",P17&lt;=2,X17&lt;=3),"Failure","Reviewed")))</x:f>
        <x:v>Failure</x:v>
      </x:c>
    </x:row>
    <x:row r="18" ht="112" customHeight="1">
      <x:c r="A18" s="54" t="n">
        <x:v>15</x:v>
      </x:c>
      <x:c r="B18" s="54" t="str">
        <x:v>G008-A</x:v>
      </x:c>
      <x:c r="C18" s="54" t="str">
        <x:v>G008</x:v>
      </x:c>
      <x:c r="D18" s="54" t="str">
        <x:v>MV-CLEAN-001</x:v>
      </x:c>
      <x:c r="E18" s="54" t="str">
        <x:v>es-MX</x:v>
      </x:c>
      <x:c r="F18" s="54" t="str">
        <x:v>short_video_script</x:v>
      </x:c>
      <x:c r="G18" s="54" t="str">
        <x:v>A</x:v>
      </x:c>
      <x:c r="H18" s="22" t="str">
        <x:v>0–3 s: Muestra Limpiador facial de aminoácidos. Voz: Elimina la suciedad y el exceso de grasa de la piel.
3–10 s: Muestra uso. Voz: Usa 1–2 bombas en la cara mojada, masajea 30 segundos y lava con agua.
10–15 s: Muestra empaque. Texto: 120 mL. Compra ahora.
TEXTO: Limpiador facial de aminoácidos para el cuidado diario de piel.</x:v>
      </x:c>
      <x:c r="I18" s="55" t="str">
        <x:v>Pass</x:v>
      </x:c>
      <x:c r="J18" s="55" t="n">
        <x:v>3</x:v>
      </x:c>
      <x:c r="K18" s="55" t="n">
        <x:v>3</x:v>
      </x:c>
      <x:c r="L18" s="55" t="n">
        <x:v>3</x:v>
      </x:c>
      <x:c r="M18" s="55" t="n">
        <x:v>4</x:v>
      </x:c>
      <x:c r="N18" s="55" t="n">
        <x:v>3</x:v>
      </x:c>
      <x:c r="O18" s="55" t="n">
        <x:v>3</x:v>
      </x:c>
      <x:c r="P18" s="55" t="n">
        <x:v>3</x:v>
      </x:c>
      <x:c r="Q18" s="55" t="n">
        <x:v>3</x:v>
      </x:c>
      <x:c r="R18" s="55" t="n">
        <x:v>5</x:v>
      </x:c>
      <x:c r="S18" s="58" t="n">
        <x:v>46231</x:v>
      </x:c>
      <x:c r="T18" s="55" t="str">
        <x:v>Reviewer-01</x:v>
      </x:c>
      <x:c r="U18" s="55" t="str">
        <x:v>Complete</x:v>
      </x:c>
      <x:c r="V18" s="50" t="str">
        <x:v>容量、用量和基础利益点准确，但西语表达较直译且遗漏避开眼周与差异化特征；建议润色。</x:v>
      </x:c>
      <x:c r="W18" s="50" t="str">
        <x:v>None</x:v>
      </x:c>
      <x:c r="X18" s="57" t="n">
        <x:f>IF(COUNT(J18:P18)=7,AVERAGE(J18:P18),"")</x:f>
        <x:v>3.142857142857143</x:v>
      </x:c>
      <x:c r="Y18" s="56" t="str">
        <x:f>IF(U18&lt;&gt;"Complete","Pending",IF(OR(I18="",COUNT(J18:P18)&lt;7,Q18="",R18="",S18="",T18=""),"Incomplete",IF(OR(I18="Fail",P18&lt;=2,X18&lt;=3),"Failure","Reviewed")))</x:f>
        <x:v>Reviewed</x:v>
      </x:c>
    </x:row>
    <x:row r="19" ht="112" customHeight="1">
      <x:c r="A19" s="54" t="n">
        <x:v>16</x:v>
      </x:c>
      <x:c r="B19" s="54" t="str">
        <x:v>G008-B</x:v>
      </x:c>
      <x:c r="C19" s="54" t="str">
        <x:v>G008</x:v>
      </x:c>
      <x:c r="D19" s="54" t="str">
        <x:v>MV-CLEAN-001</x:v>
      </x:c>
      <x:c r="E19" s="54" t="str">
        <x:v>es-MX</x:v>
      </x:c>
      <x:c r="F19" s="54" t="str">
        <x:v>short_video_script</x:v>
      </x:c>
      <x:c r="G19" s="54" t="str">
        <x:v>B</x:v>
      </x:c>
      <x:c r="H19" s="22" t="str">
        <x:v>00:00–00:03 GANCHO — Visual: Producto en una rutina sencilla. Voz: Un inicio claro y sin fragancia añadida para tu rutina.
00:03–00:08 CARACTERÍSTICA — Visual: Textura y envase. Voz: Sin fragancia añadida ni tensioactivos con sulfatos.
00:08–00:13 USO + EXPERIENCIA — Visual: Demostración de uso. Voz: Ayuda a retirar la suciedad superficial y el exceso de grasa, dejando una sensación cómoda. Masajea de 1 a 2 dosis sobre el rostro húmedo durante unos 30 segundos, enjuaga y evita el contorno de ojos.
00:13–00:15 CTA — Texto en pantalla: Consulta los detalles.
TEXTO: Sin fragancia añadida ni tensioactivos con sulfatos; ayuda a retirar la suciedad superficial y el exceso de grasa.</x:v>
      </x:c>
      <x:c r="I19" s="55" t="str">
        <x:v>Pass</x:v>
      </x:c>
      <x:c r="J19" s="55" t="n">
        <x:v>4</x:v>
      </x:c>
      <x:c r="K19" s="55" t="n">
        <x:v>5</x:v>
      </x:c>
      <x:c r="L19" s="55" t="n">
        <x:v>4</x:v>
      </x:c>
      <x:c r="M19" s="55" t="n">
        <x:v>5</x:v>
      </x:c>
      <x:c r="N19" s="55" t="n">
        <x:v>4</x:v>
      </x:c>
      <x:c r="O19" s="55" t="n">
        <x:v>4</x:v>
      </x:c>
      <x:c r="P19" s="55" t="n">
        <x:v>4</x:v>
      </x:c>
      <x:c r="Q19" s="55" t="n">
        <x:v>1</x:v>
      </x:c>
      <x:c r="R19" s="55" t="n">
        <x:v>4</x:v>
      </x:c>
      <x:c r="S19" s="58" t="n">
        <x:v>46231</x:v>
      </x:c>
      <x:c r="T19" s="55" t="str">
        <x:v>Reviewer-01</x:v>
      </x:c>
      <x:c r="U19" s="55" t="str">
        <x:v>Complete</x:v>
      </x:c>
      <x:c r="V19" s="50" t="str">
        <x:v>脚本覆盖配方特征、感受型利益点和完整用法，表达自然；补充AIGC标识即可。</x:v>
      </x:c>
      <x:c r="W19" s="50" t="str">
        <x:v>None</x:v>
      </x:c>
      <x:c r="X19" s="57" t="n">
        <x:f>IF(COUNT(J19:P19)=7,AVERAGE(J19:P19),"")</x:f>
        <x:v>4.285714285714286</x:v>
      </x:c>
      <x:c r="Y19" s="56" t="str">
        <x:f>IF(U19&lt;&gt;"Complete","Pending",IF(OR(I19="",COUNT(J19:P19)&lt;7,Q19="",R19="",S19="",T19=""),"Incomplete",IF(OR(I19="Fail",P19&lt;=2,X19&lt;=3),"Failure","Reviewed")))</x:f>
        <x:v>Reviewed</x:v>
      </x:c>
    </x:row>
    <x:row r="20" ht="112" customHeight="1">
      <x:c r="A20" s="54" t="n">
        <x:v>17</x:v>
      </x:c>
      <x:c r="B20" s="54" t="str">
        <x:v>G009-A</x:v>
      </x:c>
      <x:c r="C20" s="54" t="str">
        <x:v>G009</x:v>
      </x:c>
      <x:c r="D20" s="54" t="str">
        <x:v>MV-KIT-001</x:v>
      </x:c>
      <x:c r="E20" s="54" t="str">
        <x:v>en-US</x:v>
      </x:c>
      <x:c r="F20" s="54" t="str">
        <x:v>short_video_script</x:v>
      </x:c>
      <x:c r="G20" s="54" t="str">
        <x:v>A</x:v>
      </x:c>
      <x:c r="H20" s="22" t="str">
        <x:v>0–3s: Show Travel Skin Care Kit. Voice: Covers all of your skincare needs while traveling.
3–10s: Show use. Voice: Use cleanser first, serum second and cream third.
10–15s: Show package. Text: 3 pieces / 55 mL total. Buy now.
CAPTION: Travel Skin Care Kit for daily skin care.</x:v>
      </x:c>
      <x:c r="I20" s="55" t="str">
        <x:v>Fail</x:v>
      </x:c>
      <x:c r="J20" s="55" t="n">
        <x:v>3</x:v>
      </x:c>
      <x:c r="K20" s="55" t="n">
        <x:v>3</x:v>
      </x:c>
      <x:c r="L20" s="55" t="n">
        <x:v>3</x:v>
      </x:c>
      <x:c r="M20" s="55" t="n">
        <x:v>1</x:v>
      </x:c>
      <x:c r="N20" s="55" t="n">
        <x:v>3</x:v>
      </x:c>
      <x:c r="O20" s="55" t="n">
        <x:v>2</x:v>
      </x:c>
      <x:c r="P20" s="55" t="n">
        <x:v>2</x:v>
      </x:c>
      <x:c r="Q20" s="55" t="n">
        <x:v>4</x:v>
      </x:c>
      <x:c r="R20" s="55" t="n">
        <x:v>7</x:v>
      </x:c>
      <x:c r="S20" s="58" t="n">
        <x:v>46231</x:v>
      </x:c>
      <x:c r="T20" s="55" t="str">
        <x:v>Reviewer-01</x:v>
      </x:c>
      <x:c r="U20" s="55" t="str">
        <x:v>Complete</x:v>
      </x:c>
      <x:c r="V20" s="50" t="str">
        <x:v>“Covers all of your skincare needs”属于禁止的全能承诺，且脚本较泛；需改写Hook与利益点。</x:v>
      </x:c>
      <x:c r="W20" s="50" t="str">
        <x:v>Prohibited claim; Brand risk</x:v>
      </x:c>
      <x:c r="X20" s="57" t="n">
        <x:f>IF(COUNT(J20:P20)=7,AVERAGE(J20:P20),"")</x:f>
        <x:v>2.4285714285714284</x:v>
      </x:c>
      <x:c r="Y20" s="56" t="str">
        <x:f>IF(U20&lt;&gt;"Complete","Pending",IF(OR(I20="",COUNT(J20:P20)&lt;7,Q20="",R20="",S20="",T20=""),"Incomplete",IF(OR(I20="Fail",P20&lt;=2,X20&lt;=3),"Failure","Reviewed")))</x:f>
        <x:v>Failure</x:v>
      </x:c>
    </x:row>
    <x:row r="21" ht="112" customHeight="1">
      <x:c r="A21" s="54" t="n">
        <x:v>18</x:v>
      </x:c>
      <x:c r="B21" s="54" t="str">
        <x:v>G009-B</x:v>
      </x:c>
      <x:c r="C21" s="54" t="str">
        <x:v>G009</x:v>
      </x:c>
      <x:c r="D21" s="54" t="str">
        <x:v>MV-KIT-001</x:v>
      </x:c>
      <x:c r="E21" s="54" t="str">
        <x:v>en-US</x:v>
      </x:c>
      <x:c r="F21" s="54" t="str">
        <x:v>short_video_script</x:v>
      </x:c>
      <x:c r="G21" s="54" t="str">
        <x:v>B</x:v>
      </x:c>
      <x:c r="H21" s="22" t="str">
        <x:v>00:00–00:03 HOOK — Visual: Product in a simple routine. Voice: Three simple steps in a travel-size set.
00:03–00:08 VERIFIED FEATURE — Visual: Texture and package. Voice: Three fragrance-free mini products in one paper box.
00:08–00:13 USE + EXPERIENCE — Visual: Demonstrate use. Voice: Combines basic cleansing, hydration and moisturizing steps for simpler packing. Use the cleanser, serum and moisturizer in that order, following each product's directions.
00:13–00:15 CTA — On-screen: See product details.
CAPTION: A fragrance-free cleanser, serum and moisturizer organized in one compact paper box.</x:v>
      </x:c>
      <x:c r="I21" s="55" t="str">
        <x:v>Pass</x:v>
      </x:c>
      <x:c r="J21" s="55" t="n">
        <x:v>4</x:v>
      </x:c>
      <x:c r="K21" s="55" t="n">
        <x:v>5</x:v>
      </x:c>
      <x:c r="L21" s="55" t="n">
        <x:v>4</x:v>
      </x:c>
      <x:c r="M21" s="55" t="n">
        <x:v>5</x:v>
      </x:c>
      <x:c r="N21" s="55" t="n">
        <x:v>4</x:v>
      </x:c>
      <x:c r="O21" s="55" t="n">
        <x:v>4</x:v>
      </x:c>
      <x:c r="P21" s="55" t="n">
        <x:v>4</x:v>
      </x:c>
      <x:c r="Q21" s="55" t="n">
        <x:v>1</x:v>
      </x:c>
      <x:c r="R21" s="55" t="n">
        <x:v>4</x:v>
      </x:c>
      <x:c r="S21" s="58" t="n">
        <x:v>46231</x:v>
      </x:c>
      <x:c r="T21" s="55" t="str">
        <x:v>Reviewer-01</x:v>
      </x:c>
      <x:c r="U21" s="55" t="str">
        <x:v>Complete</x:v>
      </x:c>
      <x:c r="V21" s="50" t="str">
        <x:v>旅行场景、三步顺序和包装特点组织清晰，语气可信；发布前补充AIGC标识。</x:v>
      </x:c>
      <x:c r="W21" s="50" t="str">
        <x:v>None</x:v>
      </x:c>
      <x:c r="X21" s="57" t="n">
        <x:f>IF(COUNT(J21:P21)=7,AVERAGE(J21:P21),"")</x:f>
        <x:v>4.285714285714286</x:v>
      </x:c>
      <x:c r="Y21" s="56" t="str">
        <x:f>IF(U21&lt;&gt;"Complete","Pending",IF(OR(I21="",COUNT(J21:P21)&lt;7,Q21="",R21="",S21="",T21=""),"Incomplete",IF(OR(I21="Fail",P21&lt;=2,X21&lt;=3),"Failure","Reviewed")))</x:f>
        <x:v>Reviewed</x:v>
      </x:c>
    </x:row>
    <x:row r="22" ht="112" customHeight="1">
      <x:c r="A22" s="54" t="n">
        <x:v>19</x:v>
      </x:c>
      <x:c r="B22" s="54" t="str">
        <x:v>G010-A</x:v>
      </x:c>
      <x:c r="C22" s="54" t="str">
        <x:v>G010</x:v>
      </x:c>
      <x:c r="D22" s="54" t="str">
        <x:v>MV-SERUM-001</x:v>
      </x:c>
      <x:c r="E22" s="54" t="str">
        <x:v>en-US</x:v>
      </x:c>
      <x:c r="F22" s="54" t="str">
        <x:v>short_video_script</x:v>
      </x:c>
      <x:c r="G22" s="54" t="str">
        <x:v>A</x:v>
      </x:c>
      <x:c r="H22" s="22" t="str">
        <x:v>0–3s: Show Moisturizing Serum. Voice: Hydrates and softens the skin.
3–10s: Show use. Voice: After washing, pump 1–2 times on face and neck, then use cream.
10–15s: Show package. Text: 30 mL. Buy now.
CAPTION: Moisturizing Serum for daily skin care.</x:v>
      </x:c>
      <x:c r="I22" s="55" t="str">
        <x:v>Pass</x:v>
      </x:c>
      <x:c r="J22" s="55" t="n">
        <x:v>3</x:v>
      </x:c>
      <x:c r="K22" s="55" t="n">
        <x:v>3</x:v>
      </x:c>
      <x:c r="L22" s="55" t="n">
        <x:v>3</x:v>
      </x:c>
      <x:c r="M22" s="55" t="n">
        <x:v>4</x:v>
      </x:c>
      <x:c r="N22" s="55" t="n">
        <x:v>3</x:v>
      </x:c>
      <x:c r="O22" s="55" t="n">
        <x:v>3</x:v>
      </x:c>
      <x:c r="P22" s="55" t="n">
        <x:v>3</x:v>
      </x:c>
      <x:c r="Q22" s="55" t="n">
        <x:v>3</x:v>
      </x:c>
      <x:c r="R22" s="55" t="n">
        <x:v>5</x:v>
      </x:c>
      <x:c r="S22" s="58" t="n">
        <x:v>46231</x:v>
      </x:c>
      <x:c r="T22" s="55" t="str">
        <x:v>Reviewer-01</x:v>
      </x:c>
      <x:c r="U22" s="55" t="str">
        <x:v>Complete</x:v>
      </x:c>
      <x:c r="V22" s="50" t="str">
        <x:v>事实基本准确，但“pump 1–2 times on face”等表达生硬，卖点较泛；需语言润色并补AIGC标识。</x:v>
      </x:c>
      <x:c r="W22" s="50" t="str">
        <x:v>None</x:v>
      </x:c>
      <x:c r="X22" s="57" t="n">
        <x:f>IF(COUNT(J22:P22)=7,AVERAGE(J22:P22),"")</x:f>
        <x:v>3.142857142857143</x:v>
      </x:c>
      <x:c r="Y22" s="56" t="str">
        <x:f>IF(U22&lt;&gt;"Complete","Pending",IF(OR(I22="",COUNT(J22:P22)&lt;7,Q22="",R22="",S22="",T22=""),"Incomplete",IF(OR(I22="Fail",P22&lt;=2,X22&lt;=3),"Failure","Reviewed")))</x:f>
        <x:v>Reviewed</x:v>
      </x:c>
    </x:row>
    <x:row r="23" ht="112" customHeight="1">
      <x:c r="A23" s="54" t="n">
        <x:v>20</x:v>
      </x:c>
      <x:c r="B23" s="54" t="str">
        <x:v>G010-B</x:v>
      </x:c>
      <x:c r="C23" s="54" t="str">
        <x:v>G010</x:v>
      </x:c>
      <x:c r="D23" s="54" t="str">
        <x:v>MV-SERUM-001</x:v>
      </x:c>
      <x:c r="E23" s="54" t="str">
        <x:v>en-US</x:v>
      </x:c>
      <x:c r="F23" s="54" t="str">
        <x:v>short_video_script</x:v>
      </x:c>
      <x:c r="G23" s="54" t="str">
        <x:v>B</x:v>
      </x:c>
      <x:c r="H23" s="22" t="str">
        <x:v>00:00–00:03 HOOK — Visual: Product in a simple routine. Voice: Light hydration before moisturizer.
00:03–00:08 VERIFIED FEATURE — Visual: Texture and package. Voice: A water-based gel made without added fragrance.
00:08–00:13 USE + EXPERIENCE — Visual: Demonstrate use. Voice: Helps skin feel hydrated and soft. Apply 1–2 pumps to the face and neck after cleansing, follow with moisturizer, and avoid the eye area.
00:13–00:15 CTA — On-screen: See product details.
CAPTION: A water-based gel with glycerin, sodium hyaluronate and panthenol that helps skin feel hydrated.</x:v>
      </x:c>
      <x:c r="I23" s="55" t="str">
        <x:v>Pass</x:v>
      </x:c>
      <x:c r="J23" s="55" t="n">
        <x:v>4</x:v>
      </x:c>
      <x:c r="K23" s="55" t="n">
        <x:v>5</x:v>
      </x:c>
      <x:c r="L23" s="55" t="n">
        <x:v>4</x:v>
      </x:c>
      <x:c r="M23" s="55" t="n">
        <x:v>5</x:v>
      </x:c>
      <x:c r="N23" s="55" t="n">
        <x:v>4</x:v>
      </x:c>
      <x:c r="O23" s="55" t="n">
        <x:v>4</x:v>
      </x:c>
      <x:c r="P23" s="55" t="n">
        <x:v>4</x:v>
      </x:c>
      <x:c r="Q23" s="55" t="n">
        <x:v>1</x:v>
      </x:c>
      <x:c r="R23" s="55" t="n">
        <x:v>4</x:v>
      </x:c>
      <x:c r="S23" s="58" t="n">
        <x:v>46231</x:v>
      </x:c>
      <x:c r="T23" s="55" t="str">
        <x:v>Reviewer-01</x:v>
      </x:c>
      <x:c r="U23" s="55" t="str">
        <x:v>Complete</x:v>
      </x:c>
      <x:c r="V23" s="50" t="str">
        <x:v>轻盈补水定位、成分和用法均清楚，语言自然；仅需平台AIGC信息。</x:v>
      </x:c>
      <x:c r="W23" s="50" t="str">
        <x:v>None</x:v>
      </x:c>
      <x:c r="X23" s="57" t="n">
        <x:f>IF(COUNT(J23:P23)=7,AVERAGE(J23:P23),"")</x:f>
        <x:v>4.285714285714286</x:v>
      </x:c>
      <x:c r="Y23" s="56" t="str">
        <x:f>IF(U23&lt;&gt;"Complete","Pending",IF(OR(I23="",COUNT(J23:P23)&lt;7,Q23="",R23="",S23="",T23=""),"Incomplete",IF(OR(I23="Fail",P23&lt;=2,X23&lt;=3),"Failure","Reviewed")))</x:f>
        <x:v>Reviewed</x:v>
      </x:c>
    </x:row>
    <x:row r="24" ht="112" customHeight="1">
      <x:c r="A24" s="54" t="n">
        <x:v>21</x:v>
      </x:c>
      <x:c r="B24" s="54" t="str">
        <x:v>G011-A</x:v>
      </x:c>
      <x:c r="C24" s="54" t="str">
        <x:v>G011</x:v>
      </x:c>
      <x:c r="D24" s="54" t="str">
        <x:v>MV-CREAM-001</x:v>
      </x:c>
      <x:c r="E24" s="54" t="str">
        <x:v>es-MX</x:v>
      </x:c>
      <x:c r="F24" s="54" t="str">
        <x:v>social_ad_copy</x:v>
      </x:c>
      <x:c r="G24" s="54" t="str">
        <x:v>A</x:v>
      </x:c>
      <x:c r="H24" s="22" t="str">
        <x:v>GANCHO: Un paso hidratante sin fragancia añadida.
TEXTO: Con escualano, pantenol y beta-glucano para ayudar a que la piel se sienta suave e hidratada. Aplícala en el rostro y cuello limpios; durante el día, continúa con protector solar.
CTA: Consulta los detalles.</x:v>
      </x:c>
      <x:c r="I24" s="55" t="str">
        <x:v>Pass</x:v>
      </x:c>
      <x:c r="J24" s="55" t="n">
        <x:v>4</x:v>
      </x:c>
      <x:c r="K24" s="55" t="n">
        <x:v>5</x:v>
      </x:c>
      <x:c r="L24" s="55" t="n">
        <x:v>5</x:v>
      </x:c>
      <x:c r="M24" s="55" t="n">
        <x:v>5</x:v>
      </x:c>
      <x:c r="N24" s="55" t="n">
        <x:v>4</x:v>
      </x:c>
      <x:c r="O24" s="55" t="n">
        <x:v>4</x:v>
      </x:c>
      <x:c r="P24" s="55" t="n">
        <x:v>4</x:v>
      </x:c>
      <x:c r="Q24" s="55" t="n">
        <x:v>1</x:v>
      </x:c>
      <x:c r="R24" s="55" t="n">
        <x:v>4</x:v>
      </x:c>
      <x:c r="S24" s="58" t="n">
        <x:v>46231</x:v>
      </x:c>
      <x:c r="T24" s="55" t="str">
        <x:v>Reviewer-01</x:v>
      </x:c>
      <x:c r="U24" s="55" t="str">
        <x:v>Complete</x:v>
      </x:c>
      <x:c r="V24" s="50" t="str">
        <x:v>墨西哥西语自然，功效限定审慎且防晒步骤清楚；补充发布平台和AI使用状态即可。</x:v>
      </x:c>
      <x:c r="W24" s="50" t="str">
        <x:v>None</x:v>
      </x:c>
      <x:c r="X24" s="57" t="n">
        <x:f>IF(COUNT(J24:P24)=7,AVERAGE(J24:P24),"")</x:f>
        <x:v>4.428571428571429</x:v>
      </x:c>
      <x:c r="Y24" s="56" t="str">
        <x:f>IF(U24&lt;&gt;"Complete","Pending",IF(OR(I24="",COUNT(J24:P24)&lt;7,Q24="",R24="",S24="",T24=""),"Incomplete",IF(OR(I24="Fail",P24&lt;=2,X24&lt;=3),"Failure","Reviewed")))</x:f>
        <x:v>Reviewed</x:v>
      </x:c>
    </x:row>
    <x:row r="25" ht="112" customHeight="1">
      <x:c r="A25" s="54" t="n">
        <x:v>22</x:v>
      </x:c>
      <x:c r="B25" s="54" t="str">
        <x:v>G011-B</x:v>
      </x:c>
      <x:c r="C25" s="54" t="str">
        <x:v>G011</x:v>
      </x:c>
      <x:c r="D25" s="54" t="str">
        <x:v>MV-CREAM-001</x:v>
      </x:c>
      <x:c r="E25" s="54" t="str">
        <x:v>es-MX</x:v>
      </x:c>
      <x:c r="F25" s="54" t="str">
        <x:v>social_ad_copy</x:v>
      </x:c>
      <x:c r="G25" s="54" t="str">
        <x:v>B</x:v>
      </x:c>
      <x:c r="H25" s="22" t="str">
        <x:v>GANCHO: Hidrata la piel seca.
TEXTO: Textura en crema sin fragancia añadida. Contiene glicerina, escualano, pantenol y beta-glucano. Pon una cantidad adecuada en cara y cuello limpios y usa bloqueador en el día.
CTA: Compra ahora.</x:v>
      </x:c>
      <x:c r="I25" s="55" t="str">
        <x:v>Pass</x:v>
      </x:c>
      <x:c r="J25" s="55" t="n">
        <x:v>4</x:v>
      </x:c>
      <x:c r="K25" s="55" t="n">
        <x:v>3</x:v>
      </x:c>
      <x:c r="L25" s="55" t="n">
        <x:v>4</x:v>
      </x:c>
      <x:c r="M25" s="55" t="n">
        <x:v>4</x:v>
      </x:c>
      <x:c r="N25" s="55" t="n">
        <x:v>3</x:v>
      </x:c>
      <x:c r="O25" s="55" t="n">
        <x:v>3</x:v>
      </x:c>
      <x:c r="P25" s="55" t="n">
        <x:v>3</x:v>
      </x:c>
      <x:c r="Q25" s="55" t="n">
        <x:v>2</x:v>
      </x:c>
      <x:c r="R25" s="55" t="n">
        <x:v>5</x:v>
      </x:c>
      <x:c r="S25" s="58" t="n">
        <x:v>46231</x:v>
      </x:c>
      <x:c r="T25" s="55" t="str">
        <x:v>Reviewer-01</x:v>
      </x:c>
      <x:c r="U25" s="55" t="str">
        <x:v>Complete</x:v>
      </x:c>
      <x:c r="V25" s="50" t="str">
        <x:v>事实与成分准确，bloqueador符合本地用语；“Pon…en cara”等搭配较生硬，需润色并补平台信息。</x:v>
      </x:c>
      <x:c r="W25" s="50" t="str">
        <x:v>None</x:v>
      </x:c>
      <x:c r="X25" s="57" t="n">
        <x:f>IF(COUNT(J25:P25)=7,AVERAGE(J25:P25),"")</x:f>
        <x:v>3.4285714285714284</x:v>
      </x:c>
      <x:c r="Y25" s="56" t="str">
        <x:f>IF(U25&lt;&gt;"Complete","Pending",IF(OR(I25="",COUNT(J25:P25)&lt;7,Q25="",R25="",S25="",T25=""),"Incomplete",IF(OR(I25="Fail",P25&lt;=2,X25&lt;=3),"Failure","Reviewed")))</x:f>
        <x:v>Reviewed</x:v>
      </x:c>
    </x:row>
    <x:row r="26" ht="112" customHeight="1">
      <x:c r="A26" s="54" t="n">
        <x:v>23</x:v>
      </x:c>
      <x:c r="B26" s="54" t="str">
        <x:v>G012-A</x:v>
      </x:c>
      <x:c r="C26" s="54" t="str">
        <x:v>G012</x:v>
      </x:c>
      <x:c r="D26" s="54" t="str">
        <x:v>MV-CREAM-001</x:v>
      </x:c>
      <x:c r="E26" s="54" t="str">
        <x:v>es-MX</x:v>
      </x:c>
      <x:c r="F26" s="54" t="str">
        <x:v>short_video_script</x:v>
      </x:c>
      <x:c r="G26" s="54" t="str">
        <x:v>A</x:v>
      </x:c>
      <x:c r="H26" s="22" t="str">
        <x:v>0–3 s: Muestra Crema de cara libre de fragancia. Voz: Hidrata la piel seca.
3–10 s: Muestra uso. Voz: Pon una cantidad adecuada en cara y cuello limpios y usa bloqueador en el día.
10–15 s: Muestra empaque. Texto: 50 mL. Compra ahora.
TEXTO: Crema de cara libre de fragancia para el cuidado diario de piel.</x:v>
      </x:c>
      <x:c r="I26" s="55" t="str">
        <x:v>Pass</x:v>
      </x:c>
      <x:c r="J26" s="55" t="n">
        <x:v>3</x:v>
      </x:c>
      <x:c r="K26" s="55" t="n">
        <x:v>2</x:v>
      </x:c>
      <x:c r="L26" s="55" t="n">
        <x:v>3</x:v>
      </x:c>
      <x:c r="M26" s="55" t="n">
        <x:v>4</x:v>
      </x:c>
      <x:c r="N26" s="55" t="n">
        <x:v>3</x:v>
      </x:c>
      <x:c r="O26" s="55" t="n">
        <x:v>3</x:v>
      </x:c>
      <x:c r="P26" s="55" t="n">
        <x:v>3</x:v>
      </x:c>
      <x:c r="Q26" s="55" t="n">
        <x:v>3</x:v>
      </x:c>
      <x:c r="R26" s="55" t="n">
        <x:v>6</x:v>
      </x:c>
      <x:c r="S26" s="58" t="n">
        <x:v>46231</x:v>
      </x:c>
      <x:c r="T26" s="55" t="str">
        <x:v>Reviewer-01</x:v>
      </x:c>
      <x:c r="U26" s="55" t="str">
        <x:v>Complete</x:v>
      </x:c>
      <x:c r="V26" s="50" t="str">
        <x:v>事实基本准确，但“Crema de cara libre de fragancia”和“cuidado diario de piel”翻译感明显；需本地化润色。</x:v>
      </x:c>
      <x:c r="W26" s="50" t="str">
        <x:v>Language issue; Borderline mean score</x:v>
      </x:c>
      <x:c r="X26" s="57" t="n">
        <x:f>IF(COUNT(J26:P26)=7,AVERAGE(J26:P26),"")</x:f>
        <x:v>3</x:v>
      </x:c>
      <x:c r="Y26" s="56" t="str">
        <x:f>IF(U26&lt;&gt;"Complete","Pending",IF(OR(I26="",COUNT(J26:P26)&lt;7,Q26="",R26="",S26="",T26=""),"Incomplete",IF(OR(I26="Fail",P26&lt;=2,X26&lt;=3),"Failure","Reviewed")))</x:f>
        <x:v>Failure</x:v>
      </x:c>
    </x:row>
    <x:row r="27" ht="112" customHeight="1">
      <x:c r="A27" s="54" t="n">
        <x:v>24</x:v>
      </x:c>
      <x:c r="B27" s="54" t="str">
        <x:v>G012-B</x:v>
      </x:c>
      <x:c r="C27" s="54" t="str">
        <x:v>G012</x:v>
      </x:c>
      <x:c r="D27" s="54" t="str">
        <x:v>MV-CREAM-001</x:v>
      </x:c>
      <x:c r="E27" s="54" t="str">
        <x:v>es-MX</x:v>
      </x:c>
      <x:c r="F27" s="54" t="str">
        <x:v>short_video_script</x:v>
      </x:c>
      <x:c r="G27" s="54" t="str">
        <x:v>B</x:v>
      </x:c>
      <x:c r="H27" s="22" t="str">
        <x:v>00:00–00:03 GANCHO — Visual: Producto en una rutina sencilla. Voz: Un paso hidratante sin fragancia añadida.
00:03–00:08 CARACTERÍSTICA — Visual: Textura y envase. Voz: Textura en crema sin fragancia añadida.
00:08–00:13 USO + EXPERIENCIA — Visual: Demostración de uso. Voz: Ayuda a que la piel se sienta suave e hidratada. Aplícala en el rostro y cuello limpios; durante el día, continúa con protector solar.
00:13–00:15 CTA — Texto en pantalla: Consulta los detalles.
TEXTO: Con escualano, pantenol y beta-glucano para ayudar a que la piel se sienta suave e hidratada.</x:v>
      </x:c>
      <x:c r="I27" s="55" t="str">
        <x:v>Pass</x:v>
      </x:c>
      <x:c r="J27" s="55" t="n">
        <x:v>4</x:v>
      </x:c>
      <x:c r="K27" s="55" t="n">
        <x:v>5</x:v>
      </x:c>
      <x:c r="L27" s="55" t="n">
        <x:v>5</x:v>
      </x:c>
      <x:c r="M27" s="55" t="n">
        <x:v>5</x:v>
      </x:c>
      <x:c r="N27" s="55" t="n">
        <x:v>4</x:v>
      </x:c>
      <x:c r="O27" s="55" t="n">
        <x:v>4</x:v>
      </x:c>
      <x:c r="P27" s="55" t="n">
        <x:v>4</x:v>
      </x:c>
      <x:c r="Q27" s="55" t="n">
        <x:v>1</x:v>
      </x:c>
      <x:c r="R27" s="55" t="n">
        <x:v>4</x:v>
      </x:c>
      <x:c r="S27" s="58" t="n">
        <x:v>46231</x:v>
      </x:c>
      <x:c r="T27" s="55" t="str">
        <x:v>Reviewer-01</x:v>
      </x:c>
      <x:c r="U27" s="55" t="str">
        <x:v>Complete</x:v>
      </x:c>
      <x:c r="V27" s="50" t="str">
        <x:v>脚本语言自然，成分利益点与使用方法匹配，CTA适度；仅需AIGC标识。</x:v>
      </x:c>
      <x:c r="W27" s="50" t="str">
        <x:v>None</x:v>
      </x:c>
      <x:c r="X27" s="57" t="n">
        <x:f>IF(COUNT(J27:P27)=7,AVERAGE(J27:P27),"")</x:f>
        <x:v>4.428571428571429</x:v>
      </x:c>
      <x:c r="Y27" s="56" t="str">
        <x:f>IF(U27&lt;&gt;"Complete","Pending",IF(OR(I27="",COUNT(J27:P27)&lt;7,Q27="",R27="",S27="",T27=""),"Incomplete",IF(OR(I27="Fail",P27&lt;=2,X27&lt;=3),"Failure","Reviewed")))</x:f>
        <x:v>Reviewed</x:v>
      </x:c>
    </x:row>
    <x:row r="28" ht="112" customHeight="1">
      <x:c r="A28" s="54" t="n">
        <x:v>25</x:v>
      </x:c>
      <x:c r="B28" s="54" t="str">
        <x:v>G013-A</x:v>
      </x:c>
      <x:c r="C28" s="54" t="str">
        <x:v>G013</x:v>
      </x:c>
      <x:c r="D28" s="54" t="str">
        <x:v>MV-CLEAN-001</x:v>
      </x:c>
      <x:c r="E28" s="54" t="str">
        <x:v>en-US</x:v>
      </x:c>
      <x:c r="F28" s="54" t="str">
        <x:v>short_video_script</x:v>
      </x:c>
      <x:c r="G28" s="54" t="str">
        <x:v>A</x:v>
      </x:c>
      <x:c r="H28" s="22" t="str">
        <x:v>0–3s: Show Amino Acid Facial Cleanser. Voice: Removes dirt and excess oil from skin.
3–10s: Show use. Voice: Use 1–2 pumps on the wet face, massage for 30 seconds and wash with water.
10–15s: Show package. Text: 120 mL. Buy now.
CAPTION: Amino Acid Facial Cleanser for daily skin care.</x:v>
      </x:c>
      <x:c r="I28" s="55" t="str">
        <x:v>Pass</x:v>
      </x:c>
      <x:c r="J28" s="55" t="n">
        <x:v>3</x:v>
      </x:c>
      <x:c r="K28" s="55" t="n">
        <x:v>3</x:v>
      </x:c>
      <x:c r="L28" s="55" t="n">
        <x:v>3</x:v>
      </x:c>
      <x:c r="M28" s="55" t="n">
        <x:v>4</x:v>
      </x:c>
      <x:c r="N28" s="55" t="n">
        <x:v>3</x:v>
      </x:c>
      <x:c r="O28" s="55" t="n">
        <x:v>3</x:v>
      </x:c>
      <x:c r="P28" s="55" t="n">
        <x:v>3</x:v>
      </x:c>
      <x:c r="Q28" s="55" t="n">
        <x:v>3</x:v>
      </x:c>
      <x:c r="R28" s="55" t="n">
        <x:v>5</x:v>
      </x:c>
      <x:c r="S28" s="58" t="n">
        <x:v>46231</x:v>
      </x:c>
      <x:c r="T28" s="55" t="str">
        <x:v>Reviewer-01</x:v>
      </x:c>
      <x:c r="U28" s="55" t="str">
        <x:v>Complete</x:v>
      </x:c>
      <x:c r="V28" s="50" t="str">
        <x:v>核心事实和时长结构可用，但“on the wet face”“wash with water”不够自然，且卖点区分度有限。</x:v>
      </x:c>
      <x:c r="W28" s="50" t="str">
        <x:v>None</x:v>
      </x:c>
      <x:c r="X28" s="57" t="n">
        <x:f>IF(COUNT(J28:P28)=7,AVERAGE(J28:P28),"")</x:f>
        <x:v>3.142857142857143</x:v>
      </x:c>
      <x:c r="Y28" s="56" t="str">
        <x:f>IF(U28&lt;&gt;"Complete","Pending",IF(OR(I28="",COUNT(J28:P28)&lt;7,Q28="",R28="",S28="",T28=""),"Incomplete",IF(OR(I28="Fail",P28&lt;=2,X28&lt;=3),"Failure","Reviewed")))</x:f>
        <x:v>Reviewed</x:v>
      </x:c>
    </x:row>
    <x:row r="29" ht="112" customHeight="1">
      <x:c r="A29" s="54" t="n">
        <x:v>26</x:v>
      </x:c>
      <x:c r="B29" s="54" t="str">
        <x:v>G013-B</x:v>
      </x:c>
      <x:c r="C29" s="54" t="str">
        <x:v>G013</x:v>
      </x:c>
      <x:c r="D29" s="54" t="str">
        <x:v>MV-CLEAN-001</x:v>
      </x:c>
      <x:c r="E29" s="54" t="str">
        <x:v>en-US</x:v>
      </x:c>
      <x:c r="F29" s="54" t="str">
        <x:v>short_video_script</x:v>
      </x:c>
      <x:c r="G29" s="54" t="str">
        <x:v>B</x:v>
      </x:c>
      <x:c r="H29" s="22" t="str">
        <x:v>00:00–00:03 HOOK — Visual: Product in a simple routine. Voice: A clear, fragrance-free start to your routine.
00:03–00:08 VERIFIED FEATURE — Visual: Texture and package. Voice: Made without added fragrance or sulfate surfactants.
00:08–00:13 USE + EXPERIENCE — Visual: Demonstrate use. Voice: Helps remove surface dirt and excess oil while leaving skin feeling comfortable. Massage 1–2 pumps over a wet face for about 30 seconds, rinse, and avoid the eye area.
00:13–00:15 CTA — On-screen: See product details.
CAPTION: Made without added fragrance or sulfate surfactants, this cleanser helps remove surface dirt and excess oil.</x:v>
      </x:c>
      <x:c r="I29" s="55" t="str">
        <x:v>Pass</x:v>
      </x:c>
      <x:c r="J29" s="55" t="n">
        <x:v>4</x:v>
      </x:c>
      <x:c r="K29" s="55" t="n">
        <x:v>5</x:v>
      </x:c>
      <x:c r="L29" s="55" t="n">
        <x:v>4</x:v>
      </x:c>
      <x:c r="M29" s="55" t="n">
        <x:v>5</x:v>
      </x:c>
      <x:c r="N29" s="55" t="n">
        <x:v>4</x:v>
      </x:c>
      <x:c r="O29" s="55" t="n">
        <x:v>4</x:v>
      </x:c>
      <x:c r="P29" s="55" t="n">
        <x:v>4</x:v>
      </x:c>
      <x:c r="Q29" s="55" t="n">
        <x:v>1</x:v>
      </x:c>
      <x:c r="R29" s="55" t="n">
        <x:v>4</x:v>
      </x:c>
      <x:c r="S29" s="58" t="n">
        <x:v>46231</x:v>
      </x:c>
      <x:c r="T29" s="55" t="str">
        <x:v>Reviewer-01</x:v>
      </x:c>
      <x:c r="U29" s="55" t="str">
        <x:v>Complete</x:v>
      </x:c>
      <x:c r="V29" s="50" t="str">
        <x:v>特征、清洁感受与使用步骤完整，语言自然克制；发布前补充AIGC标识。</x:v>
      </x:c>
      <x:c r="W29" s="50" t="str">
        <x:v>None</x:v>
      </x:c>
      <x:c r="X29" s="57" t="n">
        <x:f>IF(COUNT(J29:P29)=7,AVERAGE(J29:P29),"")</x:f>
        <x:v>4.285714285714286</x:v>
      </x:c>
      <x:c r="Y29" s="56" t="str">
        <x:f>IF(U29&lt;&gt;"Complete","Pending",IF(OR(I29="",COUNT(J29:P29)&lt;7,Q29="",R29="",S29="",T29=""),"Incomplete",IF(OR(I29="Fail",P29&lt;=2,X29&lt;=3),"Failure","Reviewed")))</x:f>
        <x:v>Reviewed</x:v>
      </x:c>
    </x:row>
    <x:row r="30" ht="112" customHeight="1">
      <x:c r="A30" s="54" t="n">
        <x:v>27</x:v>
      </x:c>
      <x:c r="B30" s="54" t="str">
        <x:v>G014-A</x:v>
      </x:c>
      <x:c r="C30" s="54" t="str">
        <x:v>G014</x:v>
      </x:c>
      <x:c r="D30" s="54" t="str">
        <x:v>MV-SERUM-001</x:v>
      </x:c>
      <x:c r="E30" s="54" t="str">
        <x:v>es-MX</x:v>
      </x:c>
      <x:c r="F30" s="54" t="str">
        <x:v>social_ad_copy</x:v>
      </x:c>
      <x:c r="G30" s="54" t="str">
        <x:v>A</x:v>
      </x:c>
      <x:c r="H30" s="22" t="str">
        <x:v>GANCHO: Hidratación ligera antes de tu crema.
TEXTO: Un gel de base acuosa con glicerina, hialuronato de sodio y pantenol que ayuda a que la piel se sienta hidratada. Después de limpiar el rostro, aplica de 1 a 2 dosis en cara y cuello, continúa con tu crema hidratante y evita el contorno de ojos.
CTA: Consulta los detalles.</x:v>
      </x:c>
      <x:c r="I30" s="55" t="str">
        <x:v>Pass</x:v>
      </x:c>
      <x:c r="J30" s="55" t="n">
        <x:v>4</x:v>
      </x:c>
      <x:c r="K30" s="55" t="n">
        <x:v>5</x:v>
      </x:c>
      <x:c r="L30" s="55" t="n">
        <x:v>5</x:v>
      </x:c>
      <x:c r="M30" s="55" t="n">
        <x:v>5</x:v>
      </x:c>
      <x:c r="N30" s="55" t="n">
        <x:v>4</x:v>
      </x:c>
      <x:c r="O30" s="55" t="n">
        <x:v>4</x:v>
      </x:c>
      <x:c r="P30" s="55" t="n">
        <x:v>4</x:v>
      </x:c>
      <x:c r="Q30" s="55" t="n">
        <x:v>1</x:v>
      </x:c>
      <x:c r="R30" s="55" t="n">
        <x:v>4</x:v>
      </x:c>
      <x:c r="S30" s="58" t="n">
        <x:v>46231</x:v>
      </x:c>
      <x:c r="T30" s="55" t="str">
        <x:v>Reviewer-01</x:v>
      </x:c>
      <x:c r="U30" s="55" t="str">
        <x:v>Complete</x:v>
      </x:c>
      <x:c r="V30" s="50" t="str">
        <x:v>利益点、成分与用法表达准确自然，符合墨西哥西语习惯；补充平台及AI状态。</x:v>
      </x:c>
      <x:c r="W30" s="50" t="str">
        <x:v>None</x:v>
      </x:c>
      <x:c r="X30" s="57" t="n">
        <x:f>IF(COUNT(J30:P30)=7,AVERAGE(J30:P30),"")</x:f>
        <x:v>4.428571428571429</x:v>
      </x:c>
      <x:c r="Y30" s="56" t="str">
        <x:f>IF(U30&lt;&gt;"Complete","Pending",IF(OR(I30="",COUNT(J30:P30)&lt;7,Q30="",R30="",S30="",T30=""),"Incomplete",IF(OR(I30="Fail",P30&lt;=2,X30&lt;=3),"Failure","Reviewed")))</x:f>
        <x:v>Reviewed</x:v>
      </x:c>
    </x:row>
    <x:row r="31" ht="112" customHeight="1">
      <x:c r="A31" s="54" t="n">
        <x:v>28</x:v>
      </x:c>
      <x:c r="B31" s="54" t="str">
        <x:v>G014-B</x:v>
      </x:c>
      <x:c r="C31" s="54" t="str">
        <x:v>G014</x:v>
      </x:c>
      <x:c r="D31" s="54" t="str">
        <x:v>MV-SERUM-001</x:v>
      </x:c>
      <x:c r="E31" s="54" t="str">
        <x:v>es-MX</x:v>
      </x:c>
      <x:c r="F31" s="54" t="str">
        <x:v>social_ad_copy</x:v>
      </x:c>
      <x:c r="G31" s="54" t="str">
        <x:v>B</x:v>
      </x:c>
      <x:c r="H31" s="22" t="str">
        <x:v>GANCHO: Hidrata y suaviza la piel.
TEXTO: Gel de base acuosa sin fragancia añadida. Contiene glicerina, hialuronato de sodio y pantenol. Después de lavar, bombea 1–2 veces en cara y cuello y luego usa crema.
CTA: Compra ahora.</x:v>
      </x:c>
      <x:c r="I31" s="55" t="str">
        <x:v>Pass</x:v>
      </x:c>
      <x:c r="J31" s="55" t="n">
        <x:v>4</x:v>
      </x:c>
      <x:c r="K31" s="55" t="n">
        <x:v>3</x:v>
      </x:c>
      <x:c r="L31" s="55" t="n">
        <x:v>3</x:v>
      </x:c>
      <x:c r="M31" s="55" t="n">
        <x:v>4</x:v>
      </x:c>
      <x:c r="N31" s="55" t="n">
        <x:v>3</x:v>
      </x:c>
      <x:c r="O31" s="55" t="n">
        <x:v>3</x:v>
      </x:c>
      <x:c r="P31" s="55" t="n">
        <x:v>3</x:v>
      </x:c>
      <x:c r="Q31" s="55" t="n">
        <x:v>3</x:v>
      </x:c>
      <x:c r="R31" s="55" t="n">
        <x:v>5</x:v>
      </x:c>
      <x:c r="S31" s="58" t="n">
        <x:v>46231</x:v>
      </x:c>
      <x:c r="T31" s="55" t="str">
        <x:v>Reviewer-01</x:v>
      </x:c>
      <x:c r="U31" s="55" t="str">
        <x:v>Complete</x:v>
      </x:c>
      <x:c r="V31" s="50" t="str">
        <x:v>事实准确但“bombea 1–2 veces”等搭配不自然，利益点较泛；需润色并补充平台元数据。</x:v>
      </x:c>
      <x:c r="W31" s="50" t="str">
        <x:v>None</x:v>
      </x:c>
      <x:c r="X31" s="57" t="n">
        <x:f>IF(COUNT(J31:P31)=7,AVERAGE(J31:P31),"")</x:f>
        <x:v>3.2857142857142856</x:v>
      </x:c>
      <x:c r="Y31" s="56" t="str">
        <x:f>IF(U31&lt;&gt;"Complete","Pending",IF(OR(I31="",COUNT(J31:P31)&lt;7,Q31="",R31="",S31="",T31=""),"Incomplete",IF(OR(I31="Fail",P31&lt;=2,X31&lt;=3),"Failure","Reviewed")))</x:f>
        <x:v>Reviewed</x:v>
      </x:c>
    </x:row>
    <x:row r="32" ht="112" customHeight="1">
      <x:c r="A32" s="54" t="n">
        <x:v>29</x:v>
      </x:c>
      <x:c r="B32" s="54" t="str">
        <x:v>G015-A</x:v>
      </x:c>
      <x:c r="C32" s="54" t="str">
        <x:v>G015</x:v>
      </x:c>
      <x:c r="D32" s="54" t="str">
        <x:v>MV-KIT-001</x:v>
      </x:c>
      <x:c r="E32" s="54" t="str">
        <x:v>es-MX</x:v>
      </x:c>
      <x:c r="F32" s="54" t="str">
        <x:v>product_listing</x:v>
      </x:c>
      <x:c r="G32" s="54" t="str">
        <x:v>A</x:v>
      </x:c>
      <x:c r="H32" s="22" t="str">
        <x:v>TÍTULO: Mirevane Botanics Kit de cuidado de piel para viaje, 3 pieces / 55 mL total
PUNTO 1: Tres productos mini sin fragancia añadida en una caja de cartón.
PUNTO 2: Contiene limpiador de 30 mL, sérum de 10 mL y crema hidratante de 15 mL.
PUNTO 3: Cubre todas tus necesidades de piel cuando viajas.
DESCRIPCIÓN: Usa primero limpiador, segundo serum y tercero crema. Empaque: caja de cartón con tres productos mini que suman 55 mL.</x:v>
      </x:c>
      <x:c r="I32" s="55" t="str">
        <x:v>Fail</x:v>
      </x:c>
      <x:c r="J32" s="55" t="n">
        <x:v>3</x:v>
      </x:c>
      <x:c r="K32" s="55" t="n">
        <x:v>2</x:v>
      </x:c>
      <x:c r="L32" s="55" t="n">
        <x:v>2</x:v>
      </x:c>
      <x:c r="M32" s="55" t="n">
        <x:v>1</x:v>
      </x:c>
      <x:c r="N32" s="55" t="n">
        <x:v>2</x:v>
      </x:c>
      <x:c r="O32" s="55" t="n">
        <x:v>2</x:v>
      </x:c>
      <x:c r="P32" s="55" t="n">
        <x:v>1</x:v>
      </x:c>
      <x:c r="Q32" s="55" t="n">
        <x:v>5</x:v>
      </x:c>
      <x:c r="R32" s="55" t="n">
        <x:v>8</x:v>
      </x:c>
      <x:c r="S32" s="58" t="n">
        <x:v>46231</x:v>
      </x:c>
      <x:c r="T32" s="55" t="str">
        <x:v>Reviewer-01</x:v>
      </x:c>
      <x:c r="U32" s="55" t="str">
        <x:v>Complete</x:v>
      </x:c>
      <x:c r="V32" s="50" t="str">
        <x:v>仅3个要点且中英混排，不符合Listing结构；“Cubre todas tus necesidades”是禁止的全能承诺，需重写。</x:v>
      </x:c>
      <x:c r="W32" s="50" t="str">
        <x:v>Prohibited claim; Localization issue; Platform structure</x:v>
      </x:c>
      <x:c r="X32" s="57" t="n">
        <x:f>IF(COUNT(J32:P32)=7,AVERAGE(J32:P32),"")</x:f>
        <x:v>1.8571428571428572</x:v>
      </x:c>
      <x:c r="Y32" s="56" t="str">
        <x:f>IF(U32&lt;&gt;"Complete","Pending",IF(OR(I32="",COUNT(J32:P32)&lt;7,Q32="",R32="",S32="",T32=""),"Incomplete",IF(OR(I32="Fail",P32&lt;=2,X32&lt;=3),"Failure","Reviewed")))</x:f>
        <x:v>Failure</x:v>
      </x:c>
    </x:row>
    <x:row r="33" ht="112" customHeight="1">
      <x:c r="A33" s="54" t="n">
        <x:v>30</x:v>
      </x:c>
      <x:c r="B33" s="54" t="str">
        <x:v>G015-B</x:v>
      </x:c>
      <x:c r="C33" s="54" t="str">
        <x:v>G015</x:v>
      </x:c>
      <x:c r="D33" s="54" t="str">
        <x:v>MV-KIT-001</x:v>
      </x:c>
      <x:c r="E33" s="54" t="str">
        <x:v>es-MX</x:v>
      </x:c>
      <x:c r="F33" s="54" t="str">
        <x:v>product_listing</x:v>
      </x:c>
      <x:c r="G33" s="54" t="str">
        <x:v>B</x:v>
      </x:c>
      <x:c r="H33" s="22" t="str">
        <x:v>TÍTULO: Mirevane Botanics Set básico de cuidado facial para viaje, 3 pieces / 55 mL total
PUNTO 1: Tres productos mini sin fragancia añadida en una caja de cartón.
PUNTO 2: Formulado con limpiador de 30 mL, sérum de 10 mL y crema hidratante de 15 mL.
PUNTO 3: Combina pasos básicos de limpieza, hidratación y humectación para llevar menos.
PUNTO 4: Usa el limpiador, el sérum y la crema hidratante en ese orden, siguiendo las indicaciones de cada producto.
PUNTO 5: Presentado en caja de cartón con tres productos mini que suman 55 mL.
DESCRIPCIÓN: Tres pasos sencillos en un set para viaje. Limpiador, sérum y crema hidratante sin fragancia añadida, reunidos en una caja compacta. Usa el limpiador, el sérum y la crema hidratante en ese orden, siguiendo las indicaciones de cada producto.</x:v>
      </x:c>
      <x:c r="I33" s="55" t="str">
        <x:v>Pass</x:v>
      </x:c>
      <x:c r="J33" s="55" t="n">
        <x:v>5</x:v>
      </x:c>
      <x:c r="K33" s="55" t="n">
        <x:v>3</x:v>
      </x:c>
      <x:c r="L33" s="55" t="n">
        <x:v>3</x:v>
      </x:c>
      <x:c r="M33" s="55" t="n">
        <x:v>5</x:v>
      </x:c>
      <x:c r="N33" s="55" t="n">
        <x:v>4</x:v>
      </x:c>
      <x:c r="O33" s="55" t="n">
        <x:v>4</x:v>
      </x:c>
      <x:c r="P33" s="55" t="n">
        <x:v>3</x:v>
      </x:c>
      <x:c r="Q33" s="55" t="n">
        <x:v>2</x:v>
      </x:c>
      <x:c r="R33" s="55" t="n">
        <x:v>6</x:v>
      </x:c>
      <x:c r="S33" s="58" t="n">
        <x:v>46231</x:v>
      </x:c>
      <x:c r="T33" s="55" t="str">
        <x:v>Reviewer-01</x:v>
      </x:c>
      <x:c r="U33" s="55" t="str">
        <x:v>Complete</x:v>
      </x:c>
      <x:c r="V33" s="50" t="str">
        <x:v>信息和Listing结构完整，但“Formulado con limpiador”及“3 pieces”不够自然；本地化润色后可用。</x:v>
      </x:c>
      <x:c r="W33" s="50" t="str">
        <x:v>None</x:v>
      </x:c>
      <x:c r="X33" s="57" t="n">
        <x:f>IF(COUNT(J33:P33)=7,AVERAGE(J33:P33),"")</x:f>
        <x:v>3.857142857142857</x:v>
      </x:c>
      <x:c r="Y33" s="56" t="str">
        <x:f>IF(U33&lt;&gt;"Complete","Pending",IF(OR(I33="",COUNT(J33:P33)&lt;7,Q33="",R33="",S33="",T33=""),"Incomplete",IF(OR(I33="Fail",P33&lt;=2,X33&lt;=3),"Failure","Reviewed")))</x:f>
        <x:v>Reviewed</x:v>
      </x:c>
    </x:row>
    <x:row r="34" ht="112" customHeight="1">
      <x:c r="A34" s="54" t="n">
        <x:v>31</x:v>
      </x:c>
      <x:c r="B34" s="54" t="str">
        <x:v>G016-A</x:v>
      </x:c>
      <x:c r="C34" s="54" t="str">
        <x:v>G016</x:v>
      </x:c>
      <x:c r="D34" s="54" t="str">
        <x:v>MV-KIT-001</x:v>
      </x:c>
      <x:c r="E34" s="54" t="str">
        <x:v>en-US</x:v>
      </x:c>
      <x:c r="F34" s="54" t="str">
        <x:v>product_listing</x:v>
      </x:c>
      <x:c r="G34" s="54" t="str">
        <x:v>A</x:v>
      </x:c>
      <x:c r="H34" s="22" t="str">
        <x:v>TITLE: Mirevane Botanics Travel Skincare Set, 3 pieces / 55 mL total
BULLET 1: Three fragrance-free mini products in one paper box.
BULLET 2: Made with a 30 mL cleanser, 10 mL serum and 15 mL moisturizer.
BULLET 3: Combines basic cleansing, hydration and moisturizing steps for simpler packing.
BULLET 4: Use the cleanser, serum and moisturizer in that order, following each product's directions.
BULLET 5: Presented in a paper box with three mini products totaling 55 mL.
DESCRIPTION: Three simple steps in a travel-size set. A fragrance-free cleanser, serum and moisturizer organized in one compact paper box. Use the cleanser, serum and moisturizer in that order, following each product's directions.</x:v>
      </x:c>
      <x:c r="I34" s="55" t="str">
        <x:v>Pass</x:v>
      </x:c>
      <x:c r="J34" s="55" t="n">
        <x:v>5</x:v>
      </x:c>
      <x:c r="K34" s="55" t="n">
        <x:v>4</x:v>
      </x:c>
      <x:c r="L34" s="55" t="n">
        <x:v>4</x:v>
      </x:c>
      <x:c r="M34" s="55" t="n">
        <x:v>5</x:v>
      </x:c>
      <x:c r="N34" s="55" t="n">
        <x:v>4</x:v>
      </x:c>
      <x:c r="O34" s="55" t="n">
        <x:v>4</x:v>
      </x:c>
      <x:c r="P34" s="55" t="n">
        <x:v>4</x:v>
      </x:c>
      <x:c r="Q34" s="55" t="n">
        <x:v>1</x:v>
      </x:c>
      <x:c r="R34" s="55" t="n">
        <x:v>5</x:v>
      </x:c>
      <x:c r="S34" s="58" t="n">
        <x:v>46231</x:v>
      </x:c>
      <x:c r="T34" s="55" t="str">
        <x:v>Reviewer-01</x:v>
      </x:c>
      <x:c r="U34" s="55" t="str">
        <x:v>Complete</x:v>
      </x:c>
      <x:c r="V34" s="50" t="str">
        <x:v>Listing结构完整、事实覆盖充分；“Made with a 30 mL cleanser”可轻微改写并补充结构化AI字段。</x:v>
      </x:c>
      <x:c r="W34" s="50" t="str">
        <x:v>None</x:v>
      </x:c>
      <x:c r="X34" s="57" t="n">
        <x:f>IF(COUNT(J34:P34)=7,AVERAGE(J34:P34),"")</x:f>
        <x:v>4.285714285714286</x:v>
      </x:c>
      <x:c r="Y34" s="56" t="str">
        <x:f>IF(U34&lt;&gt;"Complete","Pending",IF(OR(I34="",COUNT(J34:P34)&lt;7,Q34="",R34="",S34="",T34=""),"Incomplete",IF(OR(I34="Fail",P34&lt;=2,X34&lt;=3),"Failure","Reviewed")))</x:f>
        <x:v>Reviewed</x:v>
      </x:c>
    </x:row>
    <x:row r="35" ht="112" customHeight="1">
      <x:c r="A35" s="54" t="n">
        <x:v>32</x:v>
      </x:c>
      <x:c r="B35" s="54" t="str">
        <x:v>G016-B</x:v>
      </x:c>
      <x:c r="C35" s="54" t="str">
        <x:v>G016</x:v>
      </x:c>
      <x:c r="D35" s="54" t="str">
        <x:v>MV-KIT-001</x:v>
      </x:c>
      <x:c r="E35" s="54" t="str">
        <x:v>en-US</x:v>
      </x:c>
      <x:c r="F35" s="54" t="str">
        <x:v>product_listing</x:v>
      </x:c>
      <x:c r="G35" s="54" t="str">
        <x:v>B</x:v>
      </x:c>
      <x:c r="H35" s="22" t="str">
        <x:v>TITLE: Mirevane Botanics Travel Skin Care Kit, 3 pieces / 55 mL total
BULLET 1: three fragrance-free mini products in one paper box.
BULLET 2: Contains a 30 mL cleanser, 10 mL serum and 15 mL moisturizer.
BULLET 3: Covers all of your skincare needs while traveling.
DESCRIPTION: Use cleanser first, serum second and cream third. Package: paper box with three mini products totaling 55 mL.</x:v>
      </x:c>
      <x:c r="I35" s="55" t="str">
        <x:v>Fail</x:v>
      </x:c>
      <x:c r="J35" s="55" t="n">
        <x:v>3</x:v>
      </x:c>
      <x:c r="K35" s="55" t="n">
        <x:v>3</x:v>
      </x:c>
      <x:c r="L35" s="55" t="n">
        <x:v>3</x:v>
      </x:c>
      <x:c r="M35" s="55" t="n">
        <x:v>1</x:v>
      </x:c>
      <x:c r="N35" s="55" t="n">
        <x:v>2</x:v>
      </x:c>
      <x:c r="O35" s="55" t="n">
        <x:v>2</x:v>
      </x:c>
      <x:c r="P35" s="55" t="n">
        <x:v>1</x:v>
      </x:c>
      <x:c r="Q35" s="55" t="n">
        <x:v>5</x:v>
      </x:c>
      <x:c r="R35" s="55" t="n">
        <x:v>8</x:v>
      </x:c>
      <x:c r="S35" s="58" t="n">
        <x:v>46231</x:v>
      </x:c>
      <x:c r="T35" s="55" t="str">
        <x:v>Reviewer-01</x:v>
      </x:c>
      <x:c r="U35" s="55" t="str">
        <x:v>Complete</x:v>
      </x:c>
      <x:c r="V35" s="50" t="str">
        <x:v>仅3个要点，且“Covers all of your skincare needs”违反事实边界；需要重写并补足Listing结构。</x:v>
      </x:c>
      <x:c r="W35" s="50" t="str">
        <x:v>Prohibited claim; Platform structure</x:v>
      </x:c>
      <x:c r="X35" s="57" t="n">
        <x:f>IF(COUNT(J35:P35)=7,AVERAGE(J35:P35),"")</x:f>
        <x:v>2.142857142857143</x:v>
      </x:c>
      <x:c r="Y35" s="56" t="str">
        <x:f>IF(U35&lt;&gt;"Complete","Pending",IF(OR(I35="",COUNT(J35:P35)&lt;7,Q35="",R35="",S35="",T35=""),"Incomplete",IF(OR(I35="Fail",P35&lt;=2,X35&lt;=3),"Failure","Reviewed")))</x:f>
        <x:v>Failure</x:v>
      </x:c>
    </x:row>
    <x:row r="36" ht="112" customHeight="1">
      <x:c r="A36" s="54" t="n">
        <x:v>33</x:v>
      </x:c>
      <x:c r="B36" s="54" t="str">
        <x:v>G017-A</x:v>
      </x:c>
      <x:c r="C36" s="54" t="str">
        <x:v>G017</x:v>
      </x:c>
      <x:c r="D36" s="54" t="str">
        <x:v>MV-CREAM-001</x:v>
      </x:c>
      <x:c r="E36" s="54" t="str">
        <x:v>en-US</x:v>
      </x:c>
      <x:c r="F36" s="54" t="str">
        <x:v>product_listing</x:v>
      </x:c>
      <x:c r="G36" s="54" t="str">
        <x:v>A</x:v>
      </x:c>
      <x:c r="H36" s="22" t="str">
        <x:v>TITLE: Mirevane Botanics Fragrance-Free Face Cream, 50 mL
BULLET 1: a cream texture made without added fragrance.
BULLET 2: Contains glycerin, squalane, panthenol and beta-glucan.
BULLET 3: Moisturizes dry skin.
DESCRIPTION: Put a suitable amount on clean face and neck and use sunscreen in daytime. Package: 50 mL PP jar with an inner lid.</x:v>
      </x:c>
      <x:c r="I36" s="55" t="str">
        <x:v>Fail</x:v>
      </x:c>
      <x:c r="J36" s="55" t="n">
        <x:v>3</x:v>
      </x:c>
      <x:c r="K36" s="55" t="n">
        <x:v>3</x:v>
      </x:c>
      <x:c r="L36" s="55" t="n">
        <x:v>3</x:v>
      </x:c>
      <x:c r="M36" s="55" t="n">
        <x:v>4</x:v>
      </x:c>
      <x:c r="N36" s="55" t="n">
        <x:v>2</x:v>
      </x:c>
      <x:c r="O36" s="55" t="n">
        <x:v>3</x:v>
      </x:c>
      <x:c r="P36" s="55" t="n">
        <x:v>2</x:v>
      </x:c>
      <x:c r="Q36" s="55" t="n">
        <x:v>4</x:v>
      </x:c>
      <x:c r="R36" s="55" t="n">
        <x:v>7</x:v>
      </x:c>
      <x:c r="S36" s="58" t="n">
        <x:v>46231</x:v>
      </x:c>
      <x:c r="T36" s="55" t="str">
        <x:v>Reviewer-01</x:v>
      </x:c>
      <x:c r="U36" s="55" t="str">
        <x:v>Complete</x:v>
      </x:c>
      <x:c r="V36" s="50" t="str">
        <x:v>仅3个要点，不符合Listing最低结构；PP罐与内盖未获事实参考支持，需删除或核验。</x:v>
      </x:c>
      <x:c r="W36" s="50" t="str">
        <x:v>Unsupported packaging; Platform structure</x:v>
      </x:c>
      <x:c r="X36" s="57" t="n">
        <x:f>IF(COUNT(J36:P36)=7,AVERAGE(J36:P36),"")</x:f>
        <x:v>2.857142857142857</x:v>
      </x:c>
      <x:c r="Y36" s="56" t="str">
        <x:f>IF(U36&lt;&gt;"Complete","Pending",IF(OR(I36="",COUNT(J36:P36)&lt;7,Q36="",R36="",S36="",T36=""),"Incomplete",IF(OR(I36="Fail",P36&lt;=2,X36&lt;=3),"Failure","Reviewed")))</x:f>
        <x:v>Failure</x:v>
      </x:c>
    </x:row>
    <x:row r="37" ht="112" customHeight="1">
      <x:c r="A37" s="54" t="n">
        <x:v>34</x:v>
      </x:c>
      <x:c r="B37" s="54" t="str">
        <x:v>G017-B</x:v>
      </x:c>
      <x:c r="C37" s="54" t="str">
        <x:v>G017</x:v>
      </x:c>
      <x:c r="D37" s="54" t="str">
        <x:v>MV-CREAM-001</x:v>
      </x:c>
      <x:c r="E37" s="54" t="str">
        <x:v>en-US</x:v>
      </x:c>
      <x:c r="F37" s="54" t="str">
        <x:v>product_listing</x:v>
      </x:c>
      <x:c r="G37" s="54" t="str">
        <x:v>B</x:v>
      </x:c>
      <x:c r="H37" s="22" t="str">
        <x:v>TITLE: Mirevane Botanics Fragrance-Free Facial Moisturizer, 50 mL
BULLET 1: A cream texture made without added fragrance.
BULLET 2: Made with glycerin, squalane, panthenol and beta-glucan.
BULLET 3: Helps skin feel soft and moisturized.
BULLET 4: Apply to a clean face and neck; follow with sunscreen during the day.
BULLET 5: Presented in a 50 mL PP jar with an inner lid.
DESCRIPTION: A fragrance-free moisturizing step. Made with squalane, panthenol and beta-glucan to help skin feel soft and moisturized. Apply to a clean face and neck; follow with sunscreen during the day.</x:v>
      </x:c>
      <x:c r="I37" s="55" t="str">
        <x:v>Fail</x:v>
      </x:c>
      <x:c r="J37" s="55" t="n">
        <x:v>5</x:v>
      </x:c>
      <x:c r="K37" s="55" t="n">
        <x:v>5</x:v>
      </x:c>
      <x:c r="L37" s="55" t="n">
        <x:v>4</x:v>
      </x:c>
      <x:c r="M37" s="55" t="n">
        <x:v>4</x:v>
      </x:c>
      <x:c r="N37" s="55" t="n">
        <x:v>4</x:v>
      </x:c>
      <x:c r="O37" s="55" t="n">
        <x:v>4</x:v>
      </x:c>
      <x:c r="P37" s="55" t="n">
        <x:v>2</x:v>
      </x:c>
      <x:c r="Q37" s="55" t="n">
        <x:v>2</x:v>
      </x:c>
      <x:c r="R37" s="55" t="n">
        <x:v>6</x:v>
      </x:c>
      <x:c r="S37" s="58" t="n">
        <x:v>46231</x:v>
      </x:c>
      <x:c r="T37" s="55" t="str">
        <x:v>Reviewer-01</x:v>
      </x:c>
      <x:c r="U37" s="55" t="str">
        <x:v>Complete</x:v>
      </x:c>
      <x:c r="V37" s="50" t="str">
        <x:v>内容结构和语言优秀，但PP罐与内盖未获事实参考支持；修正包装陈述并补AI字段后可发布。</x:v>
      </x:c>
      <x:c r="W37" s="50" t="str">
        <x:v>Unsupported packaging</x:v>
      </x:c>
      <x:c r="X37" s="57" t="n">
        <x:f>IF(COUNT(J37:P37)=7,AVERAGE(J37:P37),"")</x:f>
        <x:v>4</x:v>
      </x:c>
      <x:c r="Y37" s="56" t="str">
        <x:f>IF(U37&lt;&gt;"Complete","Pending",IF(OR(I37="",COUNT(J37:P37)&lt;7,Q37="",R37="",S37="",T37=""),"Incomplete",IF(OR(I37="Fail",P37&lt;=2,X37&lt;=3),"Failure","Reviewed")))</x:f>
        <x:v>Failure</x:v>
      </x:c>
    </x:row>
    <x:row r="38" ht="112" customHeight="1">
      <x:c r="A38" s="54" t="n">
        <x:v>35</x:v>
      </x:c>
      <x:c r="B38" s="54" t="str">
        <x:v>G018-A</x:v>
      </x:c>
      <x:c r="C38" s="54" t="str">
        <x:v>G018</x:v>
      </x:c>
      <x:c r="D38" s="54" t="str">
        <x:v>MV-SERUM-001</x:v>
      </x:c>
      <x:c r="E38" s="54" t="str">
        <x:v>en-US</x:v>
      </x:c>
      <x:c r="F38" s="54" t="str">
        <x:v>product_listing</x:v>
      </x:c>
      <x:c r="G38" s="54" t="str">
        <x:v>A</x:v>
      </x:c>
      <x:c r="H38" s="22" t="str">
        <x:v>TITLE: Mirevane Botanics Moisturizing Serum, 30 mL
BULLET 1: a water-based gel made without added fragrance.
BULLET 2: Contains glycerin, sodium hyaluronate and panthenol.
BULLET 3: Hydrates and softens the skin.
DESCRIPTION: After washing, pump 1–2 times on face and neck, then use cream. Package: opaque 30 mL PP pump bottle.</x:v>
      </x:c>
      <x:c r="I38" s="55" t="str">
        <x:v>Fail</x:v>
      </x:c>
      <x:c r="J38" s="55" t="n">
        <x:v>3</x:v>
      </x:c>
      <x:c r="K38" s="55" t="n">
        <x:v>3</x:v>
      </x:c>
      <x:c r="L38" s="55" t="n">
        <x:v>3</x:v>
      </x:c>
      <x:c r="M38" s="55" t="n">
        <x:v>4</x:v>
      </x:c>
      <x:c r="N38" s="55" t="n">
        <x:v>2</x:v>
      </x:c>
      <x:c r="O38" s="55" t="n">
        <x:v>3</x:v>
      </x:c>
      <x:c r="P38" s="55" t="n">
        <x:v>2</x:v>
      </x:c>
      <x:c r="Q38" s="55" t="n">
        <x:v>4</x:v>
      </x:c>
      <x:c r="R38" s="55" t="n">
        <x:v>7</x:v>
      </x:c>
      <x:c r="S38" s="58" t="n">
        <x:v>46231</x:v>
      </x:c>
      <x:c r="T38" s="55" t="str">
        <x:v>Reviewer-01</x:v>
      </x:c>
      <x:c r="U38" s="55" t="str">
        <x:v>Complete</x:v>
      </x:c>
      <x:c r="V38" s="50" t="str">
        <x:v>仅3个要点，且不透明PP泵瓶材质未获事实参考支持；需补足结构、删除或核验包装。</x:v>
      </x:c>
      <x:c r="W38" s="50" t="str">
        <x:v>Unsupported packaging; Platform structure</x:v>
      </x:c>
      <x:c r="X38" s="57" t="n">
        <x:f>IF(COUNT(J38:P38)=7,AVERAGE(J38:P38),"")</x:f>
        <x:v>2.857142857142857</x:v>
      </x:c>
      <x:c r="Y38" s="56" t="str">
        <x:f>IF(U38&lt;&gt;"Complete","Pending",IF(OR(I38="",COUNT(J38:P38)&lt;7,Q38="",R38="",S38="",T38=""),"Incomplete",IF(OR(I38="Fail",P38&lt;=2,X38&lt;=3),"Failure","Reviewed")))</x:f>
        <x:v>Failure</x:v>
      </x:c>
    </x:row>
    <x:row r="39" ht="112" customHeight="1">
      <x:c r="A39" s="54" t="n">
        <x:v>36</x:v>
      </x:c>
      <x:c r="B39" s="54" t="str">
        <x:v>G018-B</x:v>
      </x:c>
      <x:c r="C39" s="54" t="str">
        <x:v>G018</x:v>
      </x:c>
      <x:c r="D39" s="54" t="str">
        <x:v>MV-SERUM-001</x:v>
      </x:c>
      <x:c r="E39" s="54" t="str">
        <x:v>en-US</x:v>
      </x:c>
      <x:c r="F39" s="54" t="str">
        <x:v>product_listing</x:v>
      </x:c>
      <x:c r="G39" s="54" t="str">
        <x:v>B</x:v>
      </x:c>
      <x:c r="H39" s="22" t="str">
        <x:v>TITLE: Mirevane Botanics Hydrating Serum, 30 mL
BULLET 1: A water-based gel made without added fragrance.
BULLET 2: Made with glycerin, sodium hyaluronate and panthenol.
BULLET 3: Helps skin feel hydrated and soft.
BULLET 4: Apply 1–2 pumps to the face and neck after cleansing, follow with moisturizer, and avoid the eye area.
BULLET 5: Presented in a opaque 30 mL PP pump bottle.
DESCRIPTION: Light hydration before moisturizer. A water-based gel with glycerin, sodium hyaluronate and panthenol that helps skin feel hydrated. Apply 1–2 pumps to the face and neck after cleansing, follow with moisturizer, and avoid the eye area.</x:v>
      </x:c>
      <x:c r="I39" s="55" t="str">
        <x:v>Fail</x:v>
      </x:c>
      <x:c r="J39" s="55" t="n">
        <x:v>5</x:v>
      </x:c>
      <x:c r="K39" s="55" t="n">
        <x:v>4</x:v>
      </x:c>
      <x:c r="L39" s="55" t="n">
        <x:v>4</x:v>
      </x:c>
      <x:c r="M39" s="55" t="n">
        <x:v>4</x:v>
      </x:c>
      <x:c r="N39" s="55" t="n">
        <x:v>4</x:v>
      </x:c>
      <x:c r="O39" s="55" t="n">
        <x:v>4</x:v>
      </x:c>
      <x:c r="P39" s="55" t="n">
        <x:v>2</x:v>
      </x:c>
      <x:c r="Q39" s="55" t="n">
        <x:v>3</x:v>
      </x:c>
      <x:c r="R39" s="55" t="n">
        <x:v>6</x:v>
      </x:c>
      <x:c r="S39" s="58" t="n">
        <x:v>46231</x:v>
      </x:c>
      <x:c r="T39" s="55" t="str">
        <x:v>Reviewer-01</x:v>
      </x:c>
      <x:c r="U39" s="55" t="str">
        <x:v>Complete</x:v>
      </x:c>
      <x:c r="V39" s="50" t="str">
        <x:v>Listing信息完整，但“a opaque”有语法错误，且不透明PP瓶材质无事实依据；需修正后发布。</x:v>
      </x:c>
      <x:c r="W39" s="50" t="str">
        <x:v>Unsupported packaging; Language issue</x:v>
      </x:c>
      <x:c r="X39" s="57" t="n">
        <x:f>IF(COUNT(J39:P39)=7,AVERAGE(J39:P39),"")</x:f>
        <x:v>3.857142857142857</x:v>
      </x:c>
      <x:c r="Y39" s="56" t="str">
        <x:f>IF(U39&lt;&gt;"Complete","Pending",IF(OR(I39="",COUNT(J39:P39)&lt;7,Q39="",R39="",S39="",T39=""),"Incomplete",IF(OR(I39="Fail",P39&lt;=2,X39&lt;=3),"Failure","Reviewed")))</x:f>
        <x:v>Failure</x:v>
      </x:c>
    </x:row>
    <x:row r="40" ht="112" customHeight="1">
      <x:c r="A40" s="54" t="n">
        <x:v>37</x:v>
      </x:c>
      <x:c r="B40" s="54" t="str">
        <x:v>G019-A</x:v>
      </x:c>
      <x:c r="C40" s="54" t="str">
        <x:v>G019</x:v>
      </x:c>
      <x:c r="D40" s="54" t="str">
        <x:v>MV-HAND-001</x:v>
      </x:c>
      <x:c r="E40" s="54" t="str">
        <x:v>en-US</x:v>
      </x:c>
      <x:c r="F40" s="54" t="str">
        <x:v>social_ad_copy</x:v>
      </x:c>
      <x:c r="G40" s="54" t="str">
        <x:v>A</x:v>
      </x:c>
      <x:c r="H40" s="22" t="str">
        <x:v>HOOK: A simple hand-care step after washing.
BODY: Made with glycerin, shea butter, panthenol and allantoin to help hands feel soft and moisturized. Massage into hands and around the nails as needed; for external use only.
CTA: See product details.</x:v>
      </x:c>
      <x:c r="I40" s="55" t="str">
        <x:v>Pass</x:v>
      </x:c>
      <x:c r="J40" s="55" t="n">
        <x:v>4</x:v>
      </x:c>
      <x:c r="K40" s="55" t="n">
        <x:v>5</x:v>
      </x:c>
      <x:c r="L40" s="55" t="n">
        <x:v>4</x:v>
      </x:c>
      <x:c r="M40" s="55" t="n">
        <x:v>5</x:v>
      </x:c>
      <x:c r="N40" s="55" t="n">
        <x:v>4</x:v>
      </x:c>
      <x:c r="O40" s="55" t="n">
        <x:v>4</x:v>
      </x:c>
      <x:c r="P40" s="55" t="n">
        <x:v>4</x:v>
      </x:c>
      <x:c r="Q40" s="55" t="n">
        <x:v>1</x:v>
      </x:c>
      <x:c r="R40" s="55" t="n">
        <x:v>4</x:v>
      </x:c>
      <x:c r="S40" s="58" t="n">
        <x:v>46231</x:v>
      </x:c>
      <x:c r="T40" s="55" t="str">
        <x:v>Reviewer-01</x:v>
      </x:c>
      <x:c r="U40" s="55" t="str">
        <x:v>Complete</x:v>
      </x:c>
      <x:c r="V40" s="50" t="str">
        <x:v>日常洗手场景明确，功效限定与用法准确，CTA自然；补充平台和AI使用状态即可。</x:v>
      </x:c>
      <x:c r="W40" s="50" t="str">
        <x:v>None</x:v>
      </x:c>
      <x:c r="X40" s="57" t="n">
        <x:f>IF(COUNT(J40:P40)=7,AVERAGE(J40:P40),"")</x:f>
        <x:v>4.285714285714286</x:v>
      </x:c>
      <x:c r="Y40" s="56" t="str">
        <x:f>IF(U40&lt;&gt;"Complete","Pending",IF(OR(I40="",COUNT(J40:P40)&lt;7,Q40="",R40="",S40="",T40=""),"Incomplete",IF(OR(I40="Fail",P40&lt;=2,X40&lt;=3),"Failure","Reviewed")))</x:f>
        <x:v>Reviewed</x:v>
      </x:c>
    </x:row>
    <x:row r="41" ht="112" customHeight="1">
      <x:c r="A41" s="54" t="n">
        <x:v>38</x:v>
      </x:c>
      <x:c r="B41" s="54" t="str">
        <x:v>G019-B</x:v>
      </x:c>
      <x:c r="C41" s="54" t="str">
        <x:v>G019</x:v>
      </x:c>
      <x:c r="D41" s="54" t="str">
        <x:v>MV-HAND-001</x:v>
      </x:c>
      <x:c r="E41" s="54" t="str">
        <x:v>en-US</x:v>
      </x:c>
      <x:c r="F41" s="54" t="str">
        <x:v>social_ad_copy</x:v>
      </x:c>
      <x:c r="G41" s="54" t="str">
        <x:v>B</x:v>
      </x:c>
      <x:c r="H41" s="22" t="str">
        <x:v>HOOK: Repairs dry hands after washing.
BODY: made without added fragrance in an aluminum tube. Contains glycerin, shea butter, panthenol and allantoin. Apply to hands and nail edges repeatedly when needed.
CTA: Buy now.</x:v>
      </x:c>
      <x:c r="I41" s="55" t="str">
        <x:v>Fail</x:v>
      </x:c>
      <x:c r="J41" s="55" t="n">
        <x:v>4</x:v>
      </x:c>
      <x:c r="K41" s="55" t="n">
        <x:v>3</x:v>
      </x:c>
      <x:c r="L41" s="55" t="n">
        <x:v>3</x:v>
      </x:c>
      <x:c r="M41" s="55" t="n">
        <x:v>1</x:v>
      </x:c>
      <x:c r="N41" s="55" t="n">
        <x:v>3</x:v>
      </x:c>
      <x:c r="O41" s="55" t="n">
        <x:v>2</x:v>
      </x:c>
      <x:c r="P41" s="55" t="n">
        <x:v>2</x:v>
      </x:c>
      <x:c r="Q41" s="55" t="n">
        <x:v>4</x:v>
      </x:c>
      <x:c r="R41" s="55" t="n">
        <x:v>7</x:v>
      </x:c>
      <x:c r="S41" s="58" t="n">
        <x:v>46231</x:v>
      </x:c>
      <x:c r="T41" s="55" t="str">
        <x:v>Reviewer-01</x:v>
      </x:c>
      <x:c r="U41" s="55" t="str">
        <x:v>Complete</x:v>
      </x:c>
      <x:c r="V41" s="50" t="str">
        <x:v>“Repairs dry hands”越界，铝管材质也与事实参考不一致；需要重写Hook并修正包装信息。</x:v>
      </x:c>
      <x:c r="W41" s="50" t="str">
        <x:v>Prohibited claim; Packaging mismatch</x:v>
      </x:c>
      <x:c r="X41" s="57" t="n">
        <x:f>IF(COUNT(J41:P41)=7,AVERAGE(J41:P41),"")</x:f>
        <x:v>2.5714285714285716</x:v>
      </x:c>
      <x:c r="Y41" s="56" t="str">
        <x:f>IF(U41&lt;&gt;"Complete","Pending",IF(OR(I41="",COUNT(J41:P41)&lt;7,Q41="",R41="",S41="",T41=""),"Incomplete",IF(OR(I41="Fail",P41&lt;=2,X41&lt;=3),"Failure","Reviewed")))</x:f>
        <x:v>Failure</x:v>
      </x:c>
    </x:row>
    <x:row r="42" ht="112" customHeight="1">
      <x:c r="A42" s="54" t="n">
        <x:v>39</x:v>
      </x:c>
      <x:c r="B42" s="54" t="str">
        <x:v>G020-A</x:v>
      </x:c>
      <x:c r="C42" s="54" t="str">
        <x:v>G020</x:v>
      </x:c>
      <x:c r="D42" s="54" t="str">
        <x:v>MV-CLEAN-001</x:v>
      </x:c>
      <x:c r="E42" s="54" t="str">
        <x:v>es-MX</x:v>
      </x:c>
      <x:c r="F42" s="54" t="str">
        <x:v>product_listing</x:v>
      </x:c>
      <x:c r="G42" s="54" t="str">
        <x:v>A</x:v>
      </x:c>
      <x:c r="H42" s="22" t="str">
        <x:v>TÍTULO: Mirevane Botanics Limpiador facial de aminoácidos, 120 mL
PUNTO 1: Sin fragancia añadida ni tensioactivos con sulfatos.
PUNTO 2: Contiene glicerina, glicinato de cocoilo de sodio y pantenol.
PUNTO 3: Elimina la suciedad y el exceso de grasa de la piel.
DESCRIPCIÓN: Usa 1–2 bombas en la cara mojada, masajea 30 segundos y lava con agua. Empaque: envase PET con bomba de 120 mL.</x:v>
      </x:c>
      <x:c r="I42" s="55" t="str">
        <x:v>Fail</x:v>
      </x:c>
      <x:c r="J42" s="55" t="n">
        <x:v>3</x:v>
      </x:c>
      <x:c r="K42" s="55" t="n">
        <x:v>3</x:v>
      </x:c>
      <x:c r="L42" s="55" t="n">
        <x:v>3</x:v>
      </x:c>
      <x:c r="M42" s="55" t="n">
        <x:v>4</x:v>
      </x:c>
      <x:c r="N42" s="55" t="n">
        <x:v>2</x:v>
      </x:c>
      <x:c r="O42" s="55" t="n">
        <x:v>3</x:v>
      </x:c>
      <x:c r="P42" s="55" t="n">
        <x:v>2</x:v>
      </x:c>
      <x:c r="Q42" s="55" t="n">
        <x:v>4</x:v>
      </x:c>
      <x:c r="R42" s="55" t="n">
        <x:v>7</x:v>
      </x:c>
      <x:c r="S42" s="58" t="n">
        <x:v>46231</x:v>
      </x:c>
      <x:c r="T42" s="55" t="str">
        <x:v>Reviewer-01</x:v>
      </x:c>
      <x:c r="U42" s="55" t="str">
        <x:v>Complete</x:v>
      </x:c>
      <x:c r="V42" s="50" t="str">
        <x:v>仅3个要点，PET瓶材质未获事实参考支持；需补足Listing结构并核验或删除包装材质。</x:v>
      </x:c>
      <x:c r="W42" s="50" t="str">
        <x:v>Unsupported packaging; Platform structure</x:v>
      </x:c>
      <x:c r="X42" s="57" t="n">
        <x:f>IF(COUNT(J42:P42)=7,AVERAGE(J42:P42),"")</x:f>
        <x:v>2.857142857142857</x:v>
      </x:c>
      <x:c r="Y42" s="56" t="str">
        <x:f>IF(U42&lt;&gt;"Complete","Pending",IF(OR(I42="",COUNT(J42:P42)&lt;7,Q42="",R42="",S42="",T42=""),"Incomplete",IF(OR(I42="Fail",P42&lt;=2,X42&lt;=3),"Failure","Reviewed")))</x:f>
        <x:v>Failure</x:v>
      </x:c>
    </x:row>
    <x:row r="43" ht="112" customHeight="1">
      <x:c r="A43" s="54" t="n">
        <x:v>40</x:v>
      </x:c>
      <x:c r="B43" s="54" t="str">
        <x:v>G020-B</x:v>
      </x:c>
      <x:c r="C43" s="54" t="str">
        <x:v>G020</x:v>
      </x:c>
      <x:c r="D43" s="54" t="str">
        <x:v>MV-CLEAN-001</x:v>
      </x:c>
      <x:c r="E43" s="54" t="str">
        <x:v>es-MX</x:v>
      </x:c>
      <x:c r="F43" s="54" t="str">
        <x:v>product_listing</x:v>
      </x:c>
      <x:c r="G43" s="54" t="str">
        <x:v>B</x:v>
      </x:c>
      <x:c r="H43" s="22" t="str">
        <x:v>TÍTULO: Mirevane Botanics Limpiador facial, 120 mL
PUNTO 1: Sin fragancia añadida ni tensioactivos con sulfatos.
PUNTO 2: Formulado con glicerina, glicinato de cocoilo de sodio y pantenol.
PUNTO 3: Ayuda a retirar la suciedad superficial y el exceso de grasa, dejando una sensación cómoda.
PUNTO 4: Masajea de 1 a 2 dosis sobre el rostro húmedo durante unos 30 segundos, enjuaga y evita el contorno de ojos.
PUNTO 5: Presentado en envase PET con bomba de 120 mL.
DESCRIPCIÓN: Un inicio claro y sin fragancia añadida para tu rutina. Sin fragancia añadida ni tensioactivos con sulfatos; ayuda a retirar la suciedad superficial y el exceso de grasa. Masajea de 1 a 2 dosis sobre el rostro húmedo durante unos 30 segundos, enjuaga y evita el contorno de ojos.</x:v>
      </x:c>
      <x:c r="I43" s="55" t="str">
        <x:v>Fail</x:v>
      </x:c>
      <x:c r="J43" s="55" t="n">
        <x:v>5</x:v>
      </x:c>
      <x:c r="K43" s="55" t="n">
        <x:v>5</x:v>
      </x:c>
      <x:c r="L43" s="55" t="n">
        <x:v>5</x:v>
      </x:c>
      <x:c r="M43" s="55" t="n">
        <x:v>4</x:v>
      </x:c>
      <x:c r="N43" s="55" t="n">
        <x:v>4</x:v>
      </x:c>
      <x:c r="O43" s="55" t="n">
        <x:v>4</x:v>
      </x:c>
      <x:c r="P43" s="55" t="n">
        <x:v>2</x:v>
      </x:c>
      <x:c r="Q43" s="55" t="n">
        <x:v>2</x:v>
      </x:c>
      <x:c r="R43" s="55" t="n">
        <x:v>6</x:v>
      </x:c>
      <x:c r="S43" s="58" t="n">
        <x:v>46231</x:v>
      </x:c>
      <x:c r="T43" s="55" t="str">
        <x:v>Reviewer-01</x:v>
      </x:c>
      <x:c r="U43" s="55" t="str">
        <x:v>Complete</x:v>
      </x:c>
      <x:c r="V43" s="50" t="str">
        <x:v>西语自然且信息完整，但PET瓶材质无事实参考依据；删除或核验材质并补结构化AI字段。</x:v>
      </x:c>
      <x:c r="W43" s="50" t="str">
        <x:v>Unsupported packaging</x:v>
      </x:c>
      <x:c r="X43" s="57" t="n">
        <x:f>IF(COUNT(J43:P43)=7,AVERAGE(J43:P43),"")</x:f>
        <x:v>4.142857142857143</x:v>
      </x:c>
      <x:c r="Y43" s="56" t="str">
        <x:f>IF(U43&lt;&gt;"Complete","Pending",IF(OR(I43="",COUNT(J43:P43)&lt;7,Q43="",R43="",S43="",T43=""),"Incomplete",IF(OR(I43="Fail",P43&lt;=2,X43&lt;=3),"Failure","Reviewed")))</x:f>
        <x:v>Failure</x:v>
      </x:c>
    </x:row>
    <x:row r="44" ht="112" customHeight="1">
      <x:c r="A44" s="54" t="n">
        <x:v>41</x:v>
      </x:c>
      <x:c r="B44" s="54" t="str">
        <x:v>G021-A</x:v>
      </x:c>
      <x:c r="C44" s="54" t="str">
        <x:v>G021</x:v>
      </x:c>
      <x:c r="D44" s="54" t="str">
        <x:v>MV-CLEAN-001</x:v>
      </x:c>
      <x:c r="E44" s="54" t="str">
        <x:v>en-US</x:v>
      </x:c>
      <x:c r="F44" s="54" t="str">
        <x:v>product_listing</x:v>
      </x:c>
      <x:c r="G44" s="54" t="str">
        <x:v>A</x:v>
      </x:c>
      <x:c r="H44" s="22" t="str">
        <x:v>TITLE: Mirevane Botanics Amino Acid Facial Cleanser, 120 mL
BULLET 1: made without added fragrance or sulfate surfactants.
BULLET 2: Contains glycerin, sodium cocoyl glycinate and panthenol.
BULLET 3: Removes dirt and excess oil from skin.
DESCRIPTION: Use 1–2 pumps on the wet face, massage for 30 seconds and wash with water. Package: 120 mL PET pump bottle.</x:v>
      </x:c>
      <x:c r="I44" s="55" t="str">
        <x:v>Fail</x:v>
      </x:c>
      <x:c r="J44" s="55" t="n">
        <x:v>3</x:v>
      </x:c>
      <x:c r="K44" s="55" t="n">
        <x:v>3</x:v>
      </x:c>
      <x:c r="L44" s="55" t="n">
        <x:v>3</x:v>
      </x:c>
      <x:c r="M44" s="55" t="n">
        <x:v>4</x:v>
      </x:c>
      <x:c r="N44" s="55" t="n">
        <x:v>2</x:v>
      </x:c>
      <x:c r="O44" s="55" t="n">
        <x:v>3</x:v>
      </x:c>
      <x:c r="P44" s="55" t="n">
        <x:v>2</x:v>
      </x:c>
      <x:c r="Q44" s="55" t="n">
        <x:v>4</x:v>
      </x:c>
      <x:c r="R44" s="55" t="n">
        <x:v>7</x:v>
      </x:c>
      <x:c r="S44" s="58" t="n">
        <x:v>46231</x:v>
      </x:c>
      <x:c r="T44" s="55" t="str">
        <x:v>Reviewer-01</x:v>
      </x:c>
      <x:c r="U44" s="55" t="str">
        <x:v>Complete</x:v>
      </x:c>
      <x:c r="V44" s="50" t="str">
        <x:v>仅3个要点，PET瓶材质未获事实参考支持；同时需要润色用法并补全Listing结构。</x:v>
      </x:c>
      <x:c r="W44" s="50" t="str">
        <x:v>Unsupported packaging; Platform structure</x:v>
      </x:c>
      <x:c r="X44" s="57" t="n">
        <x:f>IF(COUNT(J44:P44)=7,AVERAGE(J44:P44),"")</x:f>
        <x:v>2.857142857142857</x:v>
      </x:c>
      <x:c r="Y44" s="56" t="str">
        <x:f>IF(U44&lt;&gt;"Complete","Pending",IF(OR(I44="",COUNT(J44:P44)&lt;7,Q44="",R44="",S44="",T44=""),"Incomplete",IF(OR(I44="Fail",P44&lt;=2,X44&lt;=3),"Failure","Reviewed")))</x:f>
        <x:v>Failure</x:v>
      </x:c>
    </x:row>
    <x:row r="45" ht="112" customHeight="1">
      <x:c r="A45" s="54" t="n">
        <x:v>42</x:v>
      </x:c>
      <x:c r="B45" s="54" t="str">
        <x:v>G021-B</x:v>
      </x:c>
      <x:c r="C45" s="54" t="str">
        <x:v>G021</x:v>
      </x:c>
      <x:c r="D45" s="54" t="str">
        <x:v>MV-CLEAN-001</x:v>
      </x:c>
      <x:c r="E45" s="54" t="str">
        <x:v>en-US</x:v>
      </x:c>
      <x:c r="F45" s="54" t="str">
        <x:v>product_listing</x:v>
      </x:c>
      <x:c r="G45" s="54" t="str">
        <x:v>B</x:v>
      </x:c>
      <x:c r="H45" s="22" t="str">
        <x:v>TITLE: Mirevane Botanics Facial Cleanser, 120 mL
BULLET 1: Made without added fragrance or sulfate surfactants.
BULLET 2: Made with glycerin, sodium cocoyl glycinate and panthenol.
BULLET 3: Helps remove surface dirt and excess oil while leaving skin feeling comfortable.
BULLET 4: Massage 1–2 pumps over a wet face for about 30 seconds, rinse, and avoid the eye area.
BULLET 5: Presented in a 120 mL PET pump bottle.
DESCRIPTION: A clear, fragrance-free start to your routine. Made without added fragrance or sulfate surfactants, this cleanser helps remove surface dirt and excess oil. Massage 1–2 pumps over a wet face for about 30 seconds, rinse, and avoid the eye area.</x:v>
      </x:c>
      <x:c r="I45" s="55" t="str">
        <x:v>Fail</x:v>
      </x:c>
      <x:c r="J45" s="55" t="n">
        <x:v>5</x:v>
      </x:c>
      <x:c r="K45" s="55" t="n">
        <x:v>5</x:v>
      </x:c>
      <x:c r="L45" s="55" t="n">
        <x:v>4</x:v>
      </x:c>
      <x:c r="M45" s="55" t="n">
        <x:v>4</x:v>
      </x:c>
      <x:c r="N45" s="55" t="n">
        <x:v>4</x:v>
      </x:c>
      <x:c r="O45" s="55" t="n">
        <x:v>4</x:v>
      </x:c>
      <x:c r="P45" s="55" t="n">
        <x:v>2</x:v>
      </x:c>
      <x:c r="Q45" s="55" t="n">
        <x:v>2</x:v>
      </x:c>
      <x:c r="R45" s="55" t="n">
        <x:v>6</x:v>
      </x:c>
      <x:c r="S45" s="58" t="n">
        <x:v>46231</x:v>
      </x:c>
      <x:c r="T45" s="55" t="str">
        <x:v>Reviewer-01</x:v>
      </x:c>
      <x:c r="U45" s="55" t="str">
        <x:v>Complete</x:v>
      </x:c>
      <x:c r="V45" s="50" t="str">
        <x:v>内容完整自然、利益点审慎，但PET瓶材质无事实参考依据；修正包装并补AI字段。</x:v>
      </x:c>
      <x:c r="W45" s="50" t="str">
        <x:v>Unsupported packaging</x:v>
      </x:c>
      <x:c r="X45" s="57" t="n">
        <x:f>IF(COUNT(J45:P45)=7,AVERAGE(J45:P45),"")</x:f>
        <x:v>4</x:v>
      </x:c>
      <x:c r="Y45" s="56" t="str">
        <x:f>IF(U45&lt;&gt;"Complete","Pending",IF(OR(I45="",COUNT(J45:P45)&lt;7,Q45="",R45="",S45="",T45=""),"Incomplete",IF(OR(I45="Fail",P45&lt;=2,X45&lt;=3),"Failure","Reviewed")))</x:f>
        <x:v>Failure</x:v>
      </x:c>
    </x:row>
    <x:row r="46" ht="112" customHeight="1">
      <x:c r="A46" s="54" t="n">
        <x:v>43</x:v>
      </x:c>
      <x:c r="B46" s="54" t="str">
        <x:v>G022-A</x:v>
      </x:c>
      <x:c r="C46" s="54" t="str">
        <x:v>G022</x:v>
      </x:c>
      <x:c r="D46" s="54" t="str">
        <x:v>MV-SERUM-001</x:v>
      </x:c>
      <x:c r="E46" s="54" t="str">
        <x:v>es-MX</x:v>
      </x:c>
      <x:c r="F46" s="54" t="str">
        <x:v>product_listing</x:v>
      </x:c>
      <x:c r="G46" s="54" t="str">
        <x:v>A</x:v>
      </x:c>
      <x:c r="H46" s="22" t="str">
        <x:v>TÍTULO: Mirevane Botanics Serum humectante, 30 mL
PUNTO 1: Gel de base acuosa sin fragancia añadida.
PUNTO 2: Contiene glicerina, hialuronato de sodio y pantenol.
PUNTO 3: Hidrata y suaviza la piel.
DESCRIPCIÓN: Después de lavar, bombea 1–2 veces en cara y cuello y luego usa crema. Empaque: envase opaco de PP con bomba de 30 mL.</x:v>
      </x:c>
      <x:c r="I46" s="55" t="str">
        <x:v>Fail</x:v>
      </x:c>
      <x:c r="J46" s="55" t="n">
        <x:v>3</x:v>
      </x:c>
      <x:c r="K46" s="55" t="n">
        <x:v>2</x:v>
      </x:c>
      <x:c r="L46" s="55" t="n">
        <x:v>3</x:v>
      </x:c>
      <x:c r="M46" s="55" t="n">
        <x:v>4</x:v>
      </x:c>
      <x:c r="N46" s="55" t="n">
        <x:v>2</x:v>
      </x:c>
      <x:c r="O46" s="55" t="n">
        <x:v>3</x:v>
      </x:c>
      <x:c r="P46" s="55" t="n">
        <x:v>2</x:v>
      </x:c>
      <x:c r="Q46" s="55" t="n">
        <x:v>4</x:v>
      </x:c>
      <x:c r="R46" s="55" t="n">
        <x:v>7</x:v>
      </x:c>
      <x:c r="S46" s="58" t="n">
        <x:v>46231</x:v>
      </x:c>
      <x:c r="T46" s="55" t="str">
        <x:v>Reviewer-01</x:v>
      </x:c>
      <x:c r="U46" s="55" t="str">
        <x:v>Complete</x:v>
      </x:c>
      <x:c r="V46" s="50" t="str">
        <x:v>仅3个要点，“bombea”等表述生硬；不透明PP瓶材质无事实依据，需结构和语言双重修改。</x:v>
      </x:c>
      <x:c r="W46" s="50" t="str">
        <x:v>Unsupported packaging; Language issue; Platform structure</x:v>
      </x:c>
      <x:c r="X46" s="57" t="n">
        <x:f>IF(COUNT(J46:P46)=7,AVERAGE(J46:P46),"")</x:f>
        <x:v>2.7142857142857144</x:v>
      </x:c>
      <x:c r="Y46" s="56" t="str">
        <x:f>IF(U46&lt;&gt;"Complete","Pending",IF(OR(I46="",COUNT(J46:P46)&lt;7,Q46="",R46="",S46="",T46=""),"Incomplete",IF(OR(I46="Fail",P46&lt;=2,X46&lt;=3),"Failure","Reviewed")))</x:f>
        <x:v>Failure</x:v>
      </x:c>
    </x:row>
    <x:row r="47" ht="112" customHeight="1">
      <x:c r="A47" s="54" t="n">
        <x:v>44</x:v>
      </x:c>
      <x:c r="B47" s="54" t="str">
        <x:v>G022-B</x:v>
      </x:c>
      <x:c r="C47" s="54" t="str">
        <x:v>G022</x:v>
      </x:c>
      <x:c r="D47" s="54" t="str">
        <x:v>MV-SERUM-001</x:v>
      </x:c>
      <x:c r="E47" s="54" t="str">
        <x:v>es-MX</x:v>
      </x:c>
      <x:c r="F47" s="54" t="str">
        <x:v>product_listing</x:v>
      </x:c>
      <x:c r="G47" s="54" t="str">
        <x:v>B</x:v>
      </x:c>
      <x:c r="H47" s="22" t="str">
        <x:v>TÍTULO: Mirevane Botanics Sérum hidratante, 30 mL
PUNTO 1: Gel de base acuosa sin fragancia añadida.
PUNTO 2: Formulado con glicerina, hialuronato de sodio y pantenol.
PUNTO 3: Ayuda a que la piel se sienta hidratada y suave.
PUNTO 4: Después de limpiar el rostro, aplica de 1 a 2 dosis en cara y cuello, continúa con tu crema hidratante y evita el contorno de ojos.
PUNTO 5: Presentado en envase opaco de PP con bomba de 30 mL.
DESCRIPCIÓN: Hidratación ligera antes de tu crema. Un gel de base acuosa con glicerina, hialuronato de sodio y pantenol que ayuda a que la piel se sienta hidratada. Después de limpiar el rostro, aplica de 1 a 2 dosis en cara y cuello, continúa con tu crema hidratante y evita el contorno de ojos.</x:v>
      </x:c>
      <x:c r="I47" s="55" t="str">
        <x:v>Fail</x:v>
      </x:c>
      <x:c r="J47" s="55" t="n">
        <x:v>5</x:v>
      </x:c>
      <x:c r="K47" s="55" t="n">
        <x:v>5</x:v>
      </x:c>
      <x:c r="L47" s="55" t="n">
        <x:v>5</x:v>
      </x:c>
      <x:c r="M47" s="55" t="n">
        <x:v>4</x:v>
      </x:c>
      <x:c r="N47" s="55" t="n">
        <x:v>4</x:v>
      </x:c>
      <x:c r="O47" s="55" t="n">
        <x:v>4</x:v>
      </x:c>
      <x:c r="P47" s="55" t="n">
        <x:v>2</x:v>
      </x:c>
      <x:c r="Q47" s="55" t="n">
        <x:v>2</x:v>
      </x:c>
      <x:c r="R47" s="55" t="n">
        <x:v>6</x:v>
      </x:c>
      <x:c r="S47" s="58" t="n">
        <x:v>46231</x:v>
      </x:c>
      <x:c r="T47" s="55" t="str">
        <x:v>Reviewer-01</x:v>
      </x:c>
      <x:c r="U47" s="55" t="str">
        <x:v>Complete</x:v>
      </x:c>
      <x:c r="V47" s="50" t="str">
        <x:v>Listing结构与西语质量良好，但不透明PP泵瓶材质未获事实参考支持；需修正包装信息。</x:v>
      </x:c>
      <x:c r="W47" s="50" t="str">
        <x:v>Unsupported packaging</x:v>
      </x:c>
      <x:c r="X47" s="57" t="n">
        <x:f>IF(COUNT(J47:P47)=7,AVERAGE(J47:P47),"")</x:f>
        <x:v>4.142857142857143</x:v>
      </x:c>
      <x:c r="Y47" s="56" t="str">
        <x:f>IF(U47&lt;&gt;"Complete","Pending",IF(OR(I47="",COUNT(J47:P47)&lt;7,Q47="",R47="",S47="",T47=""),"Incomplete",IF(OR(I47="Fail",P47&lt;=2,X47&lt;=3),"Failure","Reviewed")))</x:f>
        <x:v>Failure</x:v>
      </x:c>
    </x:row>
    <x:row r="48" ht="112" customHeight="1">
      <x:c r="A48" s="54" t="n">
        <x:v>45</x:v>
      </x:c>
      <x:c r="B48" s="54" t="str">
        <x:v>G023-A</x:v>
      </x:c>
      <x:c r="C48" s="54" t="str">
        <x:v>G023</x:v>
      </x:c>
      <x:c r="D48" s="54" t="str">
        <x:v>MV-SERUM-001</x:v>
      </x:c>
      <x:c r="E48" s="54" t="str">
        <x:v>en-US</x:v>
      </x:c>
      <x:c r="F48" s="54" t="str">
        <x:v>social_ad_copy</x:v>
      </x:c>
      <x:c r="G48" s="54" t="str">
        <x:v>A</x:v>
      </x:c>
      <x:c r="H48" s="22" t="str">
        <x:v>HOOK: Hydrates and softens the skin.
BODY: a water-based gel made without added fragrance. Contains glycerin, sodium hyaluronate and panthenol. After washing, pump 1–2 times on face and neck, then use cream.
CTA: Buy now.</x:v>
      </x:c>
      <x:c r="I48" s="55" t="str">
        <x:v>Pass</x:v>
      </x:c>
      <x:c r="J48" s="55" t="n">
        <x:v>4</x:v>
      </x:c>
      <x:c r="K48" s="55" t="n">
        <x:v>3</x:v>
      </x:c>
      <x:c r="L48" s="55" t="n">
        <x:v>3</x:v>
      </x:c>
      <x:c r="M48" s="55" t="n">
        <x:v>4</x:v>
      </x:c>
      <x:c r="N48" s="55" t="n">
        <x:v>3</x:v>
      </x:c>
      <x:c r="O48" s="55" t="n">
        <x:v>3</x:v>
      </x:c>
      <x:c r="P48" s="55" t="n">
        <x:v>3</x:v>
      </x:c>
      <x:c r="Q48" s="55" t="n">
        <x:v>3</x:v>
      </x:c>
      <x:c r="R48" s="55" t="n">
        <x:v>5</x:v>
      </x:c>
      <x:c r="S48" s="58" t="n">
        <x:v>46231</x:v>
      </x:c>
      <x:c r="T48" s="55" t="str">
        <x:v>Reviewer-01</x:v>
      </x:c>
      <x:c r="U48" s="55" t="str">
        <x:v>Complete</x:v>
      </x:c>
      <x:c r="V48" s="50" t="str">
        <x:v>主要事实准确，但句首小写和“pump…on face”不够自然，利益点较泛；需语言和平台信息润色。</x:v>
      </x:c>
      <x:c r="W48" s="50" t="str">
        <x:v>None</x:v>
      </x:c>
      <x:c r="X48" s="57" t="n">
        <x:f>IF(COUNT(J48:P48)=7,AVERAGE(J48:P48),"")</x:f>
        <x:v>3.2857142857142856</x:v>
      </x:c>
      <x:c r="Y48" s="56" t="str">
        <x:f>IF(U48&lt;&gt;"Complete","Pending",IF(OR(I48="",COUNT(J48:P48)&lt;7,Q48="",R48="",S48="",T48=""),"Incomplete",IF(OR(I48="Fail",P48&lt;=2,X48&lt;=3),"Failure","Reviewed")))</x:f>
        <x:v>Reviewed</x:v>
      </x:c>
    </x:row>
    <x:row r="49" ht="112" customHeight="1">
      <x:c r="A49" s="54" t="n">
        <x:v>46</x:v>
      </x:c>
      <x:c r="B49" s="54" t="str">
        <x:v>G023-B</x:v>
      </x:c>
      <x:c r="C49" s="54" t="str">
        <x:v>G023</x:v>
      </x:c>
      <x:c r="D49" s="54" t="str">
        <x:v>MV-SERUM-001</x:v>
      </x:c>
      <x:c r="E49" s="54" t="str">
        <x:v>en-US</x:v>
      </x:c>
      <x:c r="F49" s="54" t="str">
        <x:v>social_ad_copy</x:v>
      </x:c>
      <x:c r="G49" s="54" t="str">
        <x:v>B</x:v>
      </x:c>
      <x:c r="H49" s="22" t="str">
        <x:v>HOOK: Light hydration before moisturizer.
BODY: A water-based gel with glycerin, sodium hyaluronate and panthenol that helps skin feel hydrated. Apply 1–2 pumps to the face and neck after cleansing, follow with moisturizer, and avoid the eye area.
CTA: See product details.</x:v>
      </x:c>
      <x:c r="I49" s="55" t="str">
        <x:v>Pass</x:v>
      </x:c>
      <x:c r="J49" s="55" t="n">
        <x:v>4</x:v>
      </x:c>
      <x:c r="K49" s="55" t="n">
        <x:v>5</x:v>
      </x:c>
      <x:c r="L49" s="55" t="n">
        <x:v>4</x:v>
      </x:c>
      <x:c r="M49" s="55" t="n">
        <x:v>5</x:v>
      </x:c>
      <x:c r="N49" s="55" t="n">
        <x:v>4</x:v>
      </x:c>
      <x:c r="O49" s="55" t="n">
        <x:v>4</x:v>
      </x:c>
      <x:c r="P49" s="55" t="n">
        <x:v>4</x:v>
      </x:c>
      <x:c r="Q49" s="55" t="n">
        <x:v>1</x:v>
      </x:c>
      <x:c r="R49" s="55" t="n">
        <x:v>4</x:v>
      </x:c>
      <x:c r="S49" s="58" t="n">
        <x:v>46231</x:v>
      </x:c>
      <x:c r="T49" s="55" t="str">
        <x:v>Reviewer-01</x:v>
      </x:c>
      <x:c r="U49" s="55" t="str">
        <x:v>Complete</x:v>
      </x:c>
      <x:c r="V49" s="50" t="str">
        <x:v>补水定位、成分与用法清晰自然，CTA克制；补充AI使用状态即可。</x:v>
      </x:c>
      <x:c r="W49" s="50" t="str">
        <x:v>None</x:v>
      </x:c>
      <x:c r="X49" s="57" t="n">
        <x:f>IF(COUNT(J49:P49)=7,AVERAGE(J49:P49),"")</x:f>
        <x:v>4.285714285714286</x:v>
      </x:c>
      <x:c r="Y49" s="56" t="str">
        <x:f>IF(U49&lt;&gt;"Complete","Pending",IF(OR(I49="",COUNT(J49:P49)&lt;7,Q49="",R49="",S49="",T49=""),"Incomplete",IF(OR(I49="Fail",P49&lt;=2,X49&lt;=3),"Failure","Reviewed")))</x:f>
        <x:v>Reviewed</x:v>
      </x:c>
    </x:row>
    <x:row r="50" ht="112" customHeight="1">
      <x:c r="A50" s="54" t="n">
        <x:v>47</x:v>
      </x:c>
      <x:c r="B50" s="54" t="str">
        <x:v>G024-A</x:v>
      </x:c>
      <x:c r="C50" s="54" t="str">
        <x:v>G024</x:v>
      </x:c>
      <x:c r="D50" s="54" t="str">
        <x:v>MV-CREAM-001</x:v>
      </x:c>
      <x:c r="E50" s="54" t="str">
        <x:v>en-US</x:v>
      </x:c>
      <x:c r="F50" s="54" t="str">
        <x:v>social_ad_copy</x:v>
      </x:c>
      <x:c r="G50" s="54" t="str">
        <x:v>A</x:v>
      </x:c>
      <x:c r="H50" s="22" t="str">
        <x:v>HOOK: Moisturizes dry skin.
BODY: a cream texture made without added fragrance. Contains glycerin, squalane, panthenol and beta-glucan. Put a suitable amount on clean face and neck and use sunscreen in daytime.
CTA: Buy now.</x:v>
      </x:c>
      <x:c r="I50" s="55" t="str">
        <x:v>Pass</x:v>
      </x:c>
      <x:c r="J50" s="55" t="n">
        <x:v>4</x:v>
      </x:c>
      <x:c r="K50" s="55" t="n">
        <x:v>3</x:v>
      </x:c>
      <x:c r="L50" s="55" t="n">
        <x:v>3</x:v>
      </x:c>
      <x:c r="M50" s="55" t="n">
        <x:v>4</x:v>
      </x:c>
      <x:c r="N50" s="55" t="n">
        <x:v>3</x:v>
      </x:c>
      <x:c r="O50" s="55" t="n">
        <x:v>3</x:v>
      </x:c>
      <x:c r="P50" s="55" t="n">
        <x:v>3</x:v>
      </x:c>
      <x:c r="Q50" s="55" t="n">
        <x:v>3</x:v>
      </x:c>
      <x:c r="R50" s="55" t="n">
        <x:v>5</x:v>
      </x:c>
      <x:c r="S50" s="58" t="n">
        <x:v>46231</x:v>
      </x:c>
      <x:c r="T50" s="55" t="str">
        <x:v>Reviewer-01</x:v>
      </x:c>
      <x:c r="U50" s="55" t="str">
        <x:v>Complete</x:v>
      </x:c>
      <x:c r="V50" s="50" t="str">
        <x:v>事实准确，但句首小写及“Put a suitable amount”较生硬，卖点不够具体；建议润色。</x:v>
      </x:c>
      <x:c r="W50" s="50" t="str">
        <x:v>None</x:v>
      </x:c>
      <x:c r="X50" s="57" t="n">
        <x:f>IF(COUNT(J50:P50)=7,AVERAGE(J50:P50),"")</x:f>
        <x:v>3.2857142857142856</x:v>
      </x:c>
      <x:c r="Y50" s="56" t="str">
        <x:f>IF(U50&lt;&gt;"Complete","Pending",IF(OR(I50="",COUNT(J50:P50)&lt;7,Q50="",R50="",S50="",T50=""),"Incomplete",IF(OR(I50="Fail",P50&lt;=2,X50&lt;=3),"Failure","Reviewed")))</x:f>
        <x:v>Reviewed</x:v>
      </x:c>
    </x:row>
    <x:row r="51" ht="112" customHeight="1">
      <x:c r="A51" s="54" t="n">
        <x:v>48</x:v>
      </x:c>
      <x:c r="B51" s="54" t="str">
        <x:v>G024-B</x:v>
      </x:c>
      <x:c r="C51" s="54" t="str">
        <x:v>G024</x:v>
      </x:c>
      <x:c r="D51" s="54" t="str">
        <x:v>MV-CREAM-001</x:v>
      </x:c>
      <x:c r="E51" s="54" t="str">
        <x:v>en-US</x:v>
      </x:c>
      <x:c r="F51" s="54" t="str">
        <x:v>social_ad_copy</x:v>
      </x:c>
      <x:c r="G51" s="54" t="str">
        <x:v>B</x:v>
      </x:c>
      <x:c r="H51" s="22" t="str">
        <x:v>HOOK: A fragrance-free moisturizing step.
BODY: Made with squalane, panthenol and beta-glucan to help skin feel soft and moisturized. Apply to a clean face and neck; follow with sunscreen during the day.
CTA: See product details.</x:v>
      </x:c>
      <x:c r="I51" s="55" t="str">
        <x:v>Pass</x:v>
      </x:c>
      <x:c r="J51" s="55" t="n">
        <x:v>4</x:v>
      </x:c>
      <x:c r="K51" s="55" t="n">
        <x:v>5</x:v>
      </x:c>
      <x:c r="L51" s="55" t="n">
        <x:v>4</x:v>
      </x:c>
      <x:c r="M51" s="55" t="n">
        <x:v>5</x:v>
      </x:c>
      <x:c r="N51" s="55" t="n">
        <x:v>4</x:v>
      </x:c>
      <x:c r="O51" s="55" t="n">
        <x:v>4</x:v>
      </x:c>
      <x:c r="P51" s="55" t="n">
        <x:v>4</x:v>
      </x:c>
      <x:c r="Q51" s="55" t="n">
        <x:v>1</x:v>
      </x:c>
      <x:c r="R51" s="55" t="n">
        <x:v>4</x:v>
      </x:c>
      <x:c r="S51" s="58" t="n">
        <x:v>46231</x:v>
      </x:c>
      <x:c r="T51" s="55" t="str">
        <x:v>Reviewer-01</x:v>
      </x:c>
      <x:c r="U51" s="55" t="str">
        <x:v>Complete</x:v>
      </x:c>
      <x:c r="V51" s="50" t="str">
        <x:v>功效限定、关键成分和防晒步骤衔接自然，CTA适度；补充平台元数据即可。</x:v>
      </x:c>
      <x:c r="W51" s="50" t="str">
        <x:v>None</x:v>
      </x:c>
      <x:c r="X51" s="57" t="n">
        <x:f>IF(COUNT(J51:P51)=7,AVERAGE(J51:P51),"")</x:f>
        <x:v>4.285714285714286</x:v>
      </x:c>
      <x:c r="Y51" s="56" t="str">
        <x:f>IF(U51&lt;&gt;"Complete","Pending",IF(OR(I51="",COUNT(J51:P51)&lt;7,Q51="",R51="",S51="",T51=""),"Incomplete",IF(OR(I51="Fail",P51&lt;=2,X51&lt;=3),"Failure","Reviewed")))</x:f>
        <x:v>Reviewed</x:v>
      </x:c>
    </x:row>
    <x:row r="52" ht="112" customHeight="1">
      <x:c r="A52" s="54" t="n">
        <x:v>49</x:v>
      </x:c>
      <x:c r="B52" s="54" t="str">
        <x:v>G025-A</x:v>
      </x:c>
      <x:c r="C52" s="54" t="str">
        <x:v>G025</x:v>
      </x:c>
      <x:c r="D52" s="54" t="str">
        <x:v>MV-HAND-001</x:v>
      </x:c>
      <x:c r="E52" s="54" t="str">
        <x:v>es-MX</x:v>
      </x:c>
      <x:c r="F52" s="54" t="str">
        <x:v>social_ad_copy</x:v>
      </x:c>
      <x:c r="G52" s="54" t="str">
        <x:v>A</x:v>
      </x:c>
      <x:c r="H52" s="22" t="str">
        <x:v>GANCHO: Repara las manos secas después de lavarlas.
TEXTO: Sin fragancia añadida y en tubo de aluminio. Contiene glicerina, manteca de karité, pantenol y alantoína. Aplica en manos y bordes de uñas repetidamente cuando sea necesario.
CTA: Compra ahora.</x:v>
      </x:c>
      <x:c r="I52" s="55" t="str">
        <x:v>Fail</x:v>
      </x:c>
      <x:c r="J52" s="55" t="n">
        <x:v>4</x:v>
      </x:c>
      <x:c r="K52" s="55" t="n">
        <x:v>3</x:v>
      </x:c>
      <x:c r="L52" s="55" t="n">
        <x:v>3</x:v>
      </x:c>
      <x:c r="M52" s="55" t="n">
        <x:v>1</x:v>
      </x:c>
      <x:c r="N52" s="55" t="n">
        <x:v>3</x:v>
      </x:c>
      <x:c r="O52" s="55" t="n">
        <x:v>2</x:v>
      </x:c>
      <x:c r="P52" s="55" t="n">
        <x:v>2</x:v>
      </x:c>
      <x:c r="Q52" s="55" t="n">
        <x:v>4</x:v>
      </x:c>
      <x:c r="R52" s="55" t="n">
        <x:v>7</x:v>
      </x:c>
      <x:c r="S52" s="58" t="n">
        <x:v>46231</x:v>
      </x:c>
      <x:c r="T52" s="55" t="str">
        <x:v>Reviewer-01</x:v>
      </x:c>
      <x:c r="U52" s="55" t="str">
        <x:v>Complete</x:v>
      </x:c>
      <x:c r="V52" s="50" t="str">
        <x:v>“Repara las manos secas”越界，铝管材质也与事实参考不一致；需重写功效并修正包装。</x:v>
      </x:c>
      <x:c r="W52" s="50" t="str">
        <x:v>Prohibited claim; Packaging mismatch</x:v>
      </x:c>
      <x:c r="X52" s="57" t="n">
        <x:f>IF(COUNT(J52:P52)=7,AVERAGE(J52:P52),"")</x:f>
        <x:v>2.5714285714285716</x:v>
      </x:c>
      <x:c r="Y52" s="56" t="str">
        <x:f>IF(U52&lt;&gt;"Complete","Pending",IF(OR(I52="",COUNT(J52:P52)&lt;7,Q52="",R52="",S52="",T52=""),"Incomplete",IF(OR(I52="Fail",P52&lt;=2,X52&lt;=3),"Failure","Reviewed")))</x:f>
        <x:v>Failure</x:v>
      </x:c>
    </x:row>
    <x:row r="53" ht="112" customHeight="1">
      <x:c r="A53" s="54" t="n">
        <x:v>50</x:v>
      </x:c>
      <x:c r="B53" s="54" t="str">
        <x:v>G025-B</x:v>
      </x:c>
      <x:c r="C53" s="54" t="str">
        <x:v>G025</x:v>
      </x:c>
      <x:c r="D53" s="54" t="str">
        <x:v>MV-HAND-001</x:v>
      </x:c>
      <x:c r="E53" s="54" t="str">
        <x:v>es-MX</x:v>
      </x:c>
      <x:c r="F53" s="54" t="str">
        <x:v>social_ad_copy</x:v>
      </x:c>
      <x:c r="G53" s="54" t="str">
        <x:v>B</x:v>
      </x:c>
      <x:c r="H53" s="22" t="str">
        <x:v>GANCHO: Un paso sencillo para las manos después del lavado.
TEXTO: Con glicerina, manteca de karité, pantenol y alantoína para ayudar a que las manos se sientan suaves e hidratadas. Masajea las manos y el contorno de las uñas según sea necesario; solo para uso externo.
CTA: Consulta los detalles.</x:v>
      </x:c>
      <x:c r="I53" s="55" t="str">
        <x:v>Pass</x:v>
      </x:c>
      <x:c r="J53" s="55" t="n">
        <x:v>4</x:v>
      </x:c>
      <x:c r="K53" s="55" t="n">
        <x:v>5</x:v>
      </x:c>
      <x:c r="L53" s="55" t="n">
        <x:v>5</x:v>
      </x:c>
      <x:c r="M53" s="55" t="n">
        <x:v>5</x:v>
      </x:c>
      <x:c r="N53" s="55" t="n">
        <x:v>4</x:v>
      </x:c>
      <x:c r="O53" s="55" t="n">
        <x:v>4</x:v>
      </x:c>
      <x:c r="P53" s="55" t="n">
        <x:v>4</x:v>
      </x:c>
      <x:c r="Q53" s="55" t="n">
        <x:v>1</x:v>
      </x:c>
      <x:c r="R53" s="55" t="n">
        <x:v>4</x:v>
      </x:c>
      <x:c r="S53" s="58" t="n">
        <x:v>46231</x:v>
      </x:c>
      <x:c r="T53" s="55" t="str">
        <x:v>Reviewer-01</x:v>
      </x:c>
      <x:c r="U53" s="55" t="str">
        <x:v>Complete</x:v>
      </x:c>
      <x:c r="V53" s="50" t="str">
        <x:v>墨西哥西语自然，成分、感受型利益点和用法准确；补充平台与AI使用状态。</x:v>
      </x:c>
      <x:c r="W53" s="50" t="str">
        <x:v>None</x:v>
      </x:c>
      <x:c r="X53" s="57" t="n">
        <x:f>IF(COUNT(J53:P53)=7,AVERAGE(J53:P53),"")</x:f>
        <x:v>4.428571428571429</x:v>
      </x:c>
      <x:c r="Y53" s="56" t="str">
        <x:f>IF(U53&lt;&gt;"Complete","Pending",IF(OR(I53="",COUNT(J53:P53)&lt;7,Q53="",R53="",S53="",T53=""),"Incomplete",IF(OR(I53="Fail",P53&lt;=2,X53&lt;=3),"Failure","Reviewed")))</x:f>
        <x:v>Reviewed</x:v>
      </x:c>
    </x:row>
    <x:row r="54" ht="112" customHeight="1">
      <x:c r="A54" s="54" t="n">
        <x:v>51</x:v>
      </x:c>
      <x:c r="B54" s="54" t="str">
        <x:v>G026-A</x:v>
      </x:c>
      <x:c r="C54" s="54" t="str">
        <x:v>G026</x:v>
      </x:c>
      <x:c r="D54" s="54" t="str">
        <x:v>MV-CLEAN-001</x:v>
      </x:c>
      <x:c r="E54" s="54" t="str">
        <x:v>en-US</x:v>
      </x:c>
      <x:c r="F54" s="54" t="str">
        <x:v>social_ad_copy</x:v>
      </x:c>
      <x:c r="G54" s="54" t="str">
        <x:v>A</x:v>
      </x:c>
      <x:c r="H54" s="22" t="str">
        <x:v>HOOK: A clear, fragrance-free start to your routine.
BODY: Made without added fragrance or sulfate surfactants, this cleanser helps remove surface dirt and excess oil. Massage 1–2 pumps over a wet face for about 30 seconds, rinse, and avoid the eye area.
CTA: See product details.</x:v>
      </x:c>
      <x:c r="I54" s="55" t="str">
        <x:v>Pass</x:v>
      </x:c>
      <x:c r="J54" s="55" t="n">
        <x:v>4</x:v>
      </x:c>
      <x:c r="K54" s="55" t="n">
        <x:v>5</x:v>
      </x:c>
      <x:c r="L54" s="55" t="n">
        <x:v>4</x:v>
      </x:c>
      <x:c r="M54" s="55" t="n">
        <x:v>5</x:v>
      </x:c>
      <x:c r="N54" s="55" t="n">
        <x:v>4</x:v>
      </x:c>
      <x:c r="O54" s="55" t="n">
        <x:v>4</x:v>
      </x:c>
      <x:c r="P54" s="55" t="n">
        <x:v>4</x:v>
      </x:c>
      <x:c r="Q54" s="55" t="n">
        <x:v>1</x:v>
      </x:c>
      <x:c r="R54" s="55" t="n">
        <x:v>4</x:v>
      </x:c>
      <x:c r="S54" s="58" t="n">
        <x:v>46231</x:v>
      </x:c>
      <x:c r="T54" s="55" t="str">
        <x:v>Reviewer-01</x:v>
      </x:c>
      <x:c r="U54" s="55" t="str">
        <x:v>Complete</x:v>
      </x:c>
      <x:c r="V54" s="50" t="str">
        <x:v>清洁利益点和使用说明准确完整，语气可信；发布前补充平台和AI状态。</x:v>
      </x:c>
      <x:c r="W54" s="50" t="str">
        <x:v>None</x:v>
      </x:c>
      <x:c r="X54" s="57" t="n">
        <x:f>IF(COUNT(J54:P54)=7,AVERAGE(J54:P54),"")</x:f>
        <x:v>4.285714285714286</x:v>
      </x:c>
      <x:c r="Y54" s="56" t="str">
        <x:f>IF(U54&lt;&gt;"Complete","Pending",IF(OR(I54="",COUNT(J54:P54)&lt;7,Q54="",R54="",S54="",T54=""),"Incomplete",IF(OR(I54="Fail",P54&lt;=2,X54&lt;=3),"Failure","Reviewed")))</x:f>
        <x:v>Reviewed</x:v>
      </x:c>
    </x:row>
    <x:row r="55" ht="112" customHeight="1">
      <x:c r="A55" s="54" t="n">
        <x:v>52</x:v>
      </x:c>
      <x:c r="B55" s="54" t="str">
        <x:v>G026-B</x:v>
      </x:c>
      <x:c r="C55" s="54" t="str">
        <x:v>G026</x:v>
      </x:c>
      <x:c r="D55" s="54" t="str">
        <x:v>MV-CLEAN-001</x:v>
      </x:c>
      <x:c r="E55" s="54" t="str">
        <x:v>en-US</x:v>
      </x:c>
      <x:c r="F55" s="54" t="str">
        <x:v>social_ad_copy</x:v>
      </x:c>
      <x:c r="G55" s="54" t="str">
        <x:v>B</x:v>
      </x:c>
      <x:c r="H55" s="22" t="str">
        <x:v>HOOK: Removes dirt and excess oil from skin.
BODY: made without added fragrance or sulfate surfactants. Contains glycerin, sodium cocoyl glycinate and panthenol. Use 1–2 pumps on the wet face, massage for 30 seconds and wash with water.
CTA: Buy now.</x:v>
      </x:c>
      <x:c r="I55" s="55" t="str">
        <x:v>Pass</x:v>
      </x:c>
      <x:c r="J55" s="55" t="n">
        <x:v>4</x:v>
      </x:c>
      <x:c r="K55" s="55" t="n">
        <x:v>3</x:v>
      </x:c>
      <x:c r="L55" s="55" t="n">
        <x:v>3</x:v>
      </x:c>
      <x:c r="M55" s="55" t="n">
        <x:v>4</x:v>
      </x:c>
      <x:c r="N55" s="55" t="n">
        <x:v>3</x:v>
      </x:c>
      <x:c r="O55" s="55" t="n">
        <x:v>3</x:v>
      </x:c>
      <x:c r="P55" s="55" t="n">
        <x:v>3</x:v>
      </x:c>
      <x:c r="Q55" s="55" t="n">
        <x:v>3</x:v>
      </x:c>
      <x:c r="R55" s="55" t="n">
        <x:v>5</x:v>
      </x:c>
      <x:c r="S55" s="58" t="n">
        <x:v>46231</x:v>
      </x:c>
      <x:c r="T55" s="55" t="str">
        <x:v>Reviewer-01</x:v>
      </x:c>
      <x:c r="U55" s="55" t="str">
        <x:v>Complete</x:v>
      </x:c>
      <x:c r="V55" s="50" t="str">
        <x:v>事实准确但语言较模板化，句首小写且用法不够自然；建议润色并补平台元数据。</x:v>
      </x:c>
      <x:c r="W55" s="50" t="str">
        <x:v>None</x:v>
      </x:c>
      <x:c r="X55" s="57" t="n">
        <x:f>IF(COUNT(J55:P55)=7,AVERAGE(J55:P55),"")</x:f>
        <x:v>3.2857142857142856</x:v>
      </x:c>
      <x:c r="Y55" s="56" t="str">
        <x:f>IF(U55&lt;&gt;"Complete","Pending",IF(OR(I55="",COUNT(J55:P55)&lt;7,Q55="",R55="",S55="",T55=""),"Incomplete",IF(OR(I55="Fail",P55&lt;=2,X55&lt;=3),"Failure","Reviewed")))</x:f>
        <x:v>Reviewed</x:v>
      </x:c>
    </x:row>
    <x:row r="56" ht="112" customHeight="1">
      <x:c r="A56" s="54" t="n">
        <x:v>53</x:v>
      </x:c>
      <x:c r="B56" s="54" t="str">
        <x:v>G027-A</x:v>
      </x:c>
      <x:c r="C56" s="54" t="str">
        <x:v>G027</x:v>
      </x:c>
      <x:c r="D56" s="54" t="str">
        <x:v>MV-HAND-001</x:v>
      </x:c>
      <x:c r="E56" s="54" t="str">
        <x:v>es-MX</x:v>
      </x:c>
      <x:c r="F56" s="54" t="str">
        <x:v>product_listing</x:v>
      </x:c>
      <x:c r="G56" s="54" t="str">
        <x:v>A</x:v>
      </x:c>
      <x:c r="H56" s="22" t="str">
        <x:v>TÍTULO: Mirevane Botanics Crema para manos sin fragancia añadida, 60 mL
PUNTO 1: Sin fragancia añadida y en tubo de aluminio.
PUNTO 2: Formulado con glicerina, manteca de karité, pantenol y alantoína.
PUNTO 3: Ayuda a que las manos se sientan suaves e hidratadas después del lavado diario.
PUNTO 4: Masajea las manos y el contorno de las uñas según sea necesario; solo para uso externo.
PUNTO 5: Presentado en tubo de aluminio de 60 mL con tapa de PP.
DESCRIPCIÓN: Un paso sencillo para las manos después del lavado. Con glicerina, manteca de karité, pantenol y alantoína para ayudar a que las manos se sientan suaves e hidratadas. Masajea las manos y el contorno de las uñas según sea necesario; solo para uso externo.</x:v>
      </x:c>
      <x:c r="I56" s="55" t="str">
        <x:v>Fail</x:v>
      </x:c>
      <x:c r="J56" s="55" t="n">
        <x:v>5</x:v>
      </x:c>
      <x:c r="K56" s="55" t="n">
        <x:v>5</x:v>
      </x:c>
      <x:c r="L56" s="55" t="n">
        <x:v>5</x:v>
      </x:c>
      <x:c r="M56" s="55" t="n">
        <x:v>4</x:v>
      </x:c>
      <x:c r="N56" s="55" t="n">
        <x:v>4</x:v>
      </x:c>
      <x:c r="O56" s="55" t="n">
        <x:v>4</x:v>
      </x:c>
      <x:c r="P56" s="55" t="n">
        <x:v>2</x:v>
      </x:c>
      <x:c r="Q56" s="55" t="n">
        <x:v>2</x:v>
      </x:c>
      <x:c r="R56" s="55" t="n">
        <x:v>6</x:v>
      </x:c>
      <x:c r="S56" s="58" t="n">
        <x:v>46231</x:v>
      </x:c>
      <x:c r="T56" s="55" t="str">
        <x:v>Reviewer-01</x:v>
      </x:c>
      <x:c r="U56" s="55" t="str">
        <x:v>Complete</x:v>
      </x:c>
      <x:c r="V56" s="50" t="str">
        <x:v>Listing结构和西语表现优秀，但铝管及PP盖材质与事实参考的软管描述不一致；需修正。</x:v>
      </x:c>
      <x:c r="W56" s="50" t="str">
        <x:v>Packaging mismatch</x:v>
      </x:c>
      <x:c r="X56" s="57" t="n">
        <x:f>IF(COUNT(J56:P56)=7,AVERAGE(J56:P56),"")</x:f>
        <x:v>4.142857142857143</x:v>
      </x:c>
      <x:c r="Y56" s="56" t="str">
        <x:f>IF(U56&lt;&gt;"Complete","Pending",IF(OR(I56="",COUNT(J56:P56)&lt;7,Q56="",R56="",S56="",T56=""),"Incomplete",IF(OR(I56="Fail",P56&lt;=2,X56&lt;=3),"Failure","Reviewed")))</x:f>
        <x:v>Failure</x:v>
      </x:c>
    </x:row>
    <x:row r="57" ht="112" customHeight="1">
      <x:c r="A57" s="54" t="n">
        <x:v>54</x:v>
      </x:c>
      <x:c r="B57" s="54" t="str">
        <x:v>G027-B</x:v>
      </x:c>
      <x:c r="C57" s="54" t="str">
        <x:v>G027</x:v>
      </x:c>
      <x:c r="D57" s="54" t="str">
        <x:v>MV-HAND-001</x:v>
      </x:c>
      <x:c r="E57" s="54" t="str">
        <x:v>es-MX</x:v>
      </x:c>
      <x:c r="F57" s="54" t="str">
        <x:v>product_listing</x:v>
      </x:c>
      <x:c r="G57" s="54" t="str">
        <x:v>B</x:v>
      </x:c>
      <x:c r="H57" s="22" t="str">
        <x:v>TÍTULO: Mirevane Botanics Crema humectante de mano, 60 mL
PUNTO 1: Sin fragancia añadida y en tubo de aluminio.
PUNTO 2: Contiene glicerina, manteca de karité, pantenol y alantoína.
PUNTO 3: Repara las manos secas después de lavarlas.
DESCRIPCIÓN: Aplica en manos y bordes de uñas repetidamente cuando sea necesario. Empaque: tubo de aluminio de 60 mL con tapa de PP.</x:v>
      </x:c>
      <x:c r="I57" s="55" t="str">
        <x:v>Fail</x:v>
      </x:c>
      <x:c r="J57" s="55" t="n">
        <x:v>3</x:v>
      </x:c>
      <x:c r="K57" s="55" t="n">
        <x:v>2</x:v>
      </x:c>
      <x:c r="L57" s="55" t="n">
        <x:v>2</x:v>
      </x:c>
      <x:c r="M57" s="55" t="n">
        <x:v>1</x:v>
      </x:c>
      <x:c r="N57" s="55" t="n">
        <x:v>2</x:v>
      </x:c>
      <x:c r="O57" s="55" t="n">
        <x:v>2</x:v>
      </x:c>
      <x:c r="P57" s="55" t="n">
        <x:v>1</x:v>
      </x:c>
      <x:c r="Q57" s="55" t="n">
        <x:v>5</x:v>
      </x:c>
      <x:c r="R57" s="55" t="n">
        <x:v>8</x:v>
      </x:c>
      <x:c r="S57" s="58" t="n">
        <x:v>46231</x:v>
      </x:c>
      <x:c r="T57" s="55" t="str">
        <x:v>Reviewer-01</x:v>
      </x:c>
      <x:c r="U57" s="55" t="str">
        <x:v>Complete</x:v>
      </x:c>
      <x:c r="V57" s="50" t="str">
        <x:v>仅3个要点，西语搭配生硬；同时存在“Repara”越界功效和不一致包装材质，需要重写。</x:v>
      </x:c>
      <x:c r="W57" s="50" t="str">
        <x:v>Prohibited claim; Packaging mismatch; Platform structure</x:v>
      </x:c>
      <x:c r="X57" s="57" t="n">
        <x:f>IF(COUNT(J57:P57)=7,AVERAGE(J57:P57),"")</x:f>
        <x:v>1.8571428571428572</x:v>
      </x:c>
      <x:c r="Y57" s="56" t="str">
        <x:f>IF(U57&lt;&gt;"Complete","Pending",IF(OR(I57="",COUNT(J57:P57)&lt;7,Q57="",R57="",S57="",T57=""),"Incomplete",IF(OR(I57="Fail",P57&lt;=2,X57&lt;=3),"Failure","Reviewed")))</x:f>
        <x:v>Failure</x:v>
      </x:c>
    </x:row>
    <x:row r="58" ht="112" customHeight="1">
      <x:c r="A58" s="54" t="n">
        <x:v>55</x:v>
      </x:c>
      <x:c r="B58" s="54" t="str">
        <x:v>G028-A</x:v>
      </x:c>
      <x:c r="C58" s="54" t="str">
        <x:v>G028</x:v>
      </x:c>
      <x:c r="D58" s="54" t="str">
        <x:v>MV-SERUM-001</x:v>
      </x:c>
      <x:c r="E58" s="54" t="str">
        <x:v>es-MX</x:v>
      </x:c>
      <x:c r="F58" s="54" t="str">
        <x:v>short_video_script</x:v>
      </x:c>
      <x:c r="G58" s="54" t="str">
        <x:v>A</x:v>
      </x:c>
      <x:c r="H58" s="22" t="str">
        <x:v>00:00–00:03 GANCHO — Visual: Producto en una rutina sencilla. Voz: Hidratación ligera antes de tu crema.
00:03–00:08 CARACTERÍSTICA — Visual: Textura y envase. Voz: Gel de base acuosa sin fragancia añadida.
00:08–00:13 USO + EXPERIENCIA — Visual: Demostración de uso. Voz: Ayuda a que la piel se sienta hidratada y suave. Después de limpiar el rostro, aplica de 1 a 2 dosis en cara y cuello, continúa con tu crema hidratante y evita el contorno de ojos.
00:13–00:15 CTA — Texto en pantalla: Consulta los detalles.
TEXTO: Un gel de base acuosa con glicerina, hialuronato de sodio y pantenol que ayuda a que la piel se sienta hidratada.</x:v>
      </x:c>
      <x:c r="I58" s="55" t="str">
        <x:v>Pass</x:v>
      </x:c>
      <x:c r="J58" s="55" t="n">
        <x:v>4</x:v>
      </x:c>
      <x:c r="K58" s="55" t="n">
        <x:v>5</x:v>
      </x:c>
      <x:c r="L58" s="55" t="n">
        <x:v>5</x:v>
      </x:c>
      <x:c r="M58" s="55" t="n">
        <x:v>5</x:v>
      </x:c>
      <x:c r="N58" s="55" t="n">
        <x:v>4</x:v>
      </x:c>
      <x:c r="O58" s="55" t="n">
        <x:v>4</x:v>
      </x:c>
      <x:c r="P58" s="55" t="n">
        <x:v>4</x:v>
      </x:c>
      <x:c r="Q58" s="55" t="n">
        <x:v>1</x:v>
      </x:c>
      <x:c r="R58" s="55" t="n">
        <x:v>4</x:v>
      </x:c>
      <x:c r="S58" s="58" t="n">
        <x:v>46231</x:v>
      </x:c>
      <x:c r="T58" s="55" t="str">
        <x:v>Reviewer-01</x:v>
      </x:c>
      <x:c r="U58" s="55" t="str">
        <x:v>Complete</x:v>
      </x:c>
      <x:c r="V58" s="50" t="str">
        <x:v>脚本语言自然，成分、利益点与用法完整，适合墨西哥市场；仅需补充AIGC标识。</x:v>
      </x:c>
      <x:c r="W58" s="50" t="str">
        <x:v>None</x:v>
      </x:c>
      <x:c r="X58" s="57" t="n">
        <x:f>IF(COUNT(J58:P58)=7,AVERAGE(J58:P58),"")</x:f>
        <x:v>4.428571428571429</x:v>
      </x:c>
      <x:c r="Y58" s="56" t="str">
        <x:f>IF(U58&lt;&gt;"Complete","Pending",IF(OR(I58="",COUNT(J58:P58)&lt;7,Q58="",R58="",S58="",T58=""),"Incomplete",IF(OR(I58="Fail",P58&lt;=2,X58&lt;=3),"Failure","Reviewed")))</x:f>
        <x:v>Reviewed</x:v>
      </x:c>
    </x:row>
    <x:row r="59" ht="112" customHeight="1">
      <x:c r="A59" s="54" t="n">
        <x:v>56</x:v>
      </x:c>
      <x:c r="B59" s="54" t="str">
        <x:v>G028-B</x:v>
      </x:c>
      <x:c r="C59" s="54" t="str">
        <x:v>G028</x:v>
      </x:c>
      <x:c r="D59" s="54" t="str">
        <x:v>MV-SERUM-001</x:v>
      </x:c>
      <x:c r="E59" s="54" t="str">
        <x:v>es-MX</x:v>
      </x:c>
      <x:c r="F59" s="54" t="str">
        <x:v>short_video_script</x:v>
      </x:c>
      <x:c r="G59" s="54" t="str">
        <x:v>B</x:v>
      </x:c>
      <x:c r="H59" s="22" t="str">
        <x:v>0–3 s: Muestra Serum humectante. Voz: Hidrata y suaviza la piel.
3–10 s: Muestra uso. Voz: Después de lavar, bombea 1–2 veces en cara y cuello y luego usa crema.
10–15 s: Muestra empaque. Texto: 30 mL. Compra ahora.
TEXTO: Serum humectante para el cuidado diario de piel.</x:v>
      </x:c>
      <x:c r="I59" s="55" t="str">
        <x:v>Pass</x:v>
      </x:c>
      <x:c r="J59" s="55" t="n">
        <x:v>3</x:v>
      </x:c>
      <x:c r="K59" s="55" t="n">
        <x:v>2</x:v>
      </x:c>
      <x:c r="L59" s="55" t="n">
        <x:v>3</x:v>
      </x:c>
      <x:c r="M59" s="55" t="n">
        <x:v>4</x:v>
      </x:c>
      <x:c r="N59" s="55" t="n">
        <x:v>3</x:v>
      </x:c>
      <x:c r="O59" s="55" t="n">
        <x:v>3</x:v>
      </x:c>
      <x:c r="P59" s="55" t="n">
        <x:v>3</x:v>
      </x:c>
      <x:c r="Q59" s="55" t="n">
        <x:v>3</x:v>
      </x:c>
      <x:c r="R59" s="55" t="n">
        <x:v>6</x:v>
      </x:c>
      <x:c r="S59" s="58" t="n">
        <x:v>46231</x:v>
      </x:c>
      <x:c r="T59" s="55" t="str">
        <x:v>Reviewer-01</x:v>
      </x:c>
      <x:c r="U59" s="55" t="str">
        <x:v>Complete</x:v>
      </x:c>
      <x:c r="V59" s="50" t="str">
        <x:v>核心事实准确，但“Serum humectante”“bombea”等表达不自然，信息也较泛；需本地化润色。</x:v>
      </x:c>
      <x:c r="W59" s="50" t="str">
        <x:v>Language issue; Borderline mean score</x:v>
      </x:c>
      <x:c r="X59" s="57" t="n">
        <x:f>IF(COUNT(J59:P59)=7,AVERAGE(J59:P59),"")</x:f>
        <x:v>3</x:v>
      </x:c>
      <x:c r="Y59" s="56" t="str">
        <x:f>IF(U59&lt;&gt;"Complete","Pending",IF(OR(I59="",COUNT(J59:P59)&lt;7,Q59="",R59="",S59="",T59=""),"Incomplete",IF(OR(I59="Fail",P59&lt;=2,X59&lt;=3),"Failure","Reviewed")))</x:f>
        <x:v>Failure</x:v>
      </x:c>
    </x:row>
    <x:row r="60" ht="112" customHeight="1">
      <x:c r="A60" s="54" t="n">
        <x:v>57</x:v>
      </x:c>
      <x:c r="B60" s="54" t="str">
        <x:v>G029-A</x:v>
      </x:c>
      <x:c r="C60" s="54" t="str">
        <x:v>G029</x:v>
      </x:c>
      <x:c r="D60" s="54" t="str">
        <x:v>MV-CREAM-001</x:v>
      </x:c>
      <x:c r="E60" s="54" t="str">
        <x:v>es-MX</x:v>
      </x:c>
      <x:c r="F60" s="54" t="str">
        <x:v>product_listing</x:v>
      </x:c>
      <x:c r="G60" s="54" t="str">
        <x:v>A</x:v>
      </x:c>
      <x:c r="H60" s="22" t="str">
        <x:v>TÍTULO: Mirevane Botanics Crema de cara libre de fragancia, 50 mL
PUNTO 1: Textura en crema sin fragancia añadida.
PUNTO 2: Contiene glicerina, escualano, pantenol y beta-glucano.
PUNTO 3: Hidrata la piel seca.
DESCRIPCIÓN: Pon una cantidad adecuada en cara y cuello limpios y usa bloqueador en el día. Empaque: tarro de PP de 50 mL con tapa interior.</x:v>
      </x:c>
      <x:c r="I60" s="55" t="str">
        <x:v>Fail</x:v>
      </x:c>
      <x:c r="J60" s="55" t="n">
        <x:v>3</x:v>
      </x:c>
      <x:c r="K60" s="55" t="n">
        <x:v>2</x:v>
      </x:c>
      <x:c r="L60" s="55" t="n">
        <x:v>3</x:v>
      </x:c>
      <x:c r="M60" s="55" t="n">
        <x:v>4</x:v>
      </x:c>
      <x:c r="N60" s="55" t="n">
        <x:v>2</x:v>
      </x:c>
      <x:c r="O60" s="55" t="n">
        <x:v>3</x:v>
      </x:c>
      <x:c r="P60" s="55" t="n">
        <x:v>2</x:v>
      </x:c>
      <x:c r="Q60" s="55" t="n">
        <x:v>4</x:v>
      </x:c>
      <x:c r="R60" s="55" t="n">
        <x:v>7</x:v>
      </x:c>
      <x:c r="S60" s="58" t="n">
        <x:v>46231</x:v>
      </x:c>
      <x:c r="T60" s="55" t="str">
        <x:v>Reviewer-01</x:v>
      </x:c>
      <x:c r="U60" s="55" t="str">
        <x:v>Complete</x:v>
      </x:c>
      <x:c r="V60" s="50" t="str">
        <x:v>仅3个要点且“Crema de cara libre de fragancia”不自然；PP罐与内盖无事实依据，需修改。</x:v>
      </x:c>
      <x:c r="W60" s="50" t="str">
        <x:v>Unsupported packaging; Language issue; Platform structure</x:v>
      </x:c>
      <x:c r="X60" s="57" t="n">
        <x:f>IF(COUNT(J60:P60)=7,AVERAGE(J60:P60),"")</x:f>
        <x:v>2.7142857142857144</x:v>
      </x:c>
      <x:c r="Y60" s="56" t="str">
        <x:f>IF(U60&lt;&gt;"Complete","Pending",IF(OR(I60="",COUNT(J60:P60)&lt;7,Q60="",R60="",S60="",T60=""),"Incomplete",IF(OR(I60="Fail",P60&lt;=2,X60&lt;=3),"Failure","Reviewed")))</x:f>
        <x:v>Failure</x:v>
      </x:c>
    </x:row>
    <x:row r="61" ht="112" customHeight="1">
      <x:c r="A61" s="54" t="n">
        <x:v>58</x:v>
      </x:c>
      <x:c r="B61" s="54" t="str">
        <x:v>G029-B</x:v>
      </x:c>
      <x:c r="C61" s="54" t="str">
        <x:v>G029</x:v>
      </x:c>
      <x:c r="D61" s="54" t="str">
        <x:v>MV-CREAM-001</x:v>
      </x:c>
      <x:c r="E61" s="54" t="str">
        <x:v>es-MX</x:v>
      </x:c>
      <x:c r="F61" s="54" t="str">
        <x:v>product_listing</x:v>
      </x:c>
      <x:c r="G61" s="54" t="str">
        <x:v>B</x:v>
      </x:c>
      <x:c r="H61" s="22" t="str">
        <x:v>TÍTULO: Mirevane Botanics Crema hidratante facial sin fragancia añadida, 50 mL
PUNTO 1: Textura en crema sin fragancia añadida.
PUNTO 2: Formulado con glicerina, escualano, pantenol y beta-glucano.
PUNTO 3: Ayuda a que la piel se sienta suave e hidratada.
PUNTO 4: Aplícala en el rostro y cuello limpios; durante el día, continúa con protector solar.
PUNTO 5: Presentado en tarro de PP de 50 mL con tapa interior.
DESCRIPCIÓN: Un paso hidratante sin fragancia añadida. Con escualano, pantenol y beta-glucano para ayudar a que la piel se sienta suave e hidratada. Aplícala en el rostro y cuello limpios; durante el día, continúa con protector solar.</x:v>
      </x:c>
      <x:c r="I61" s="55" t="str">
        <x:v>Fail</x:v>
      </x:c>
      <x:c r="J61" s="55" t="n">
        <x:v>5</x:v>
      </x:c>
      <x:c r="K61" s="55" t="n">
        <x:v>5</x:v>
      </x:c>
      <x:c r="L61" s="55" t="n">
        <x:v>5</x:v>
      </x:c>
      <x:c r="M61" s="55" t="n">
        <x:v>4</x:v>
      </x:c>
      <x:c r="N61" s="55" t="n">
        <x:v>4</x:v>
      </x:c>
      <x:c r="O61" s="55" t="n">
        <x:v>4</x:v>
      </x:c>
      <x:c r="P61" s="55" t="n">
        <x:v>2</x:v>
      </x:c>
      <x:c r="Q61" s="55" t="n">
        <x:v>2</x:v>
      </x:c>
      <x:c r="R61" s="55" t="n">
        <x:v>6</x:v>
      </x:c>
      <x:c r="S61" s="58" t="n">
        <x:v>46231</x:v>
      </x:c>
      <x:c r="T61" s="55" t="str">
        <x:v>Reviewer-01</x:v>
      </x:c>
      <x:c r="U61" s="55" t="str">
        <x:v>Complete</x:v>
      </x:c>
      <x:c r="V61" s="50" t="str">
        <x:v>信息结构与西语质量优秀，但PP罐及内盖未获事实参考支持；修正包装并补AI字段。</x:v>
      </x:c>
      <x:c r="W61" s="50" t="str">
        <x:v>Unsupported packaging</x:v>
      </x:c>
      <x:c r="X61" s="57" t="n">
        <x:f>IF(COUNT(J61:P61)=7,AVERAGE(J61:P61),"")</x:f>
        <x:v>4.142857142857143</x:v>
      </x:c>
      <x:c r="Y61" s="56" t="str">
        <x:f>IF(U61&lt;&gt;"Complete","Pending",IF(OR(I61="",COUNT(J61:P61)&lt;7,Q61="",R61="",S61="",T61=""),"Incomplete",IF(OR(I61="Fail",P61&lt;=2,X61&lt;=3),"Failure","Reviewed")))</x:f>
        <x:v>Failure</x:v>
      </x:c>
    </x:row>
    <x:row r="62" ht="112" customHeight="1">
      <x:c r="A62" s="54" t="n">
        <x:v>59</x:v>
      </x:c>
      <x:c r="B62" s="54" t="str">
        <x:v>G030-A</x:v>
      </x:c>
      <x:c r="C62" s="54" t="str">
        <x:v>G030</x:v>
      </x:c>
      <x:c r="D62" s="54" t="str">
        <x:v>MV-KIT-001</x:v>
      </x:c>
      <x:c r="E62" s="54" t="str">
        <x:v>es-MX</x:v>
      </x:c>
      <x:c r="F62" s="54" t="str">
        <x:v>social_ad_copy</x:v>
      </x:c>
      <x:c r="G62" s="54" t="str">
        <x:v>A</x:v>
      </x:c>
      <x:c r="H62" s="22" t="str">
        <x:v>GANCHO: Cubre todas tus necesidades de piel cuando viajas.
TEXTO: Tres productos mini sin fragancia añadida en una caja de cartón. Contiene limpiador de 30 mL, sérum de 10 mL y crema hidratante de 15 mL. Usa primero limpiador, segundo serum y tercero crema.
CTA: Compra ahora.</x:v>
      </x:c>
      <x:c r="I62" s="55" t="str">
        <x:v>Fail</x:v>
      </x:c>
      <x:c r="J62" s="55" t="n">
        <x:v>4</x:v>
      </x:c>
      <x:c r="K62" s="55" t="n">
        <x:v>3</x:v>
      </x:c>
      <x:c r="L62" s="55" t="n">
        <x:v>3</x:v>
      </x:c>
      <x:c r="M62" s="55" t="n">
        <x:v>1</x:v>
      </x:c>
      <x:c r="N62" s="55" t="n">
        <x:v>3</x:v>
      </x:c>
      <x:c r="O62" s="55" t="n">
        <x:v>2</x:v>
      </x:c>
      <x:c r="P62" s="55" t="n">
        <x:v>2</x:v>
      </x:c>
      <x:c r="Q62" s="55" t="n">
        <x:v>4</x:v>
      </x:c>
      <x:c r="R62" s="55" t="n">
        <x:v>7</x:v>
      </x:c>
      <x:c r="S62" s="58" t="n">
        <x:v>46231</x:v>
      </x:c>
      <x:c r="T62" s="55" t="str">
        <x:v>Reviewer-01</x:v>
      </x:c>
      <x:c r="U62" s="55" t="str">
        <x:v>Complete</x:v>
      </x:c>
      <x:c r="V62" s="50" t="str">
        <x:v>“Cubre todas tus necesidades”属于禁止的全能承诺，且用语较模板化；需重写Hook并补平台信息。</x:v>
      </x:c>
      <x:c r="W62" s="50" t="str">
        <x:v>Prohibited claim; Brand risk</x:v>
      </x:c>
      <x:c r="X62" s="57" t="n">
        <x:f>IF(COUNT(J62:P62)=7,AVERAGE(J62:P62),"")</x:f>
        <x:v>2.5714285714285716</x:v>
      </x:c>
      <x:c r="Y62" s="56" t="str">
        <x:f>IF(U62&lt;&gt;"Complete","Pending",IF(OR(I62="",COUNT(J62:P62)&lt;7,Q62="",R62="",S62="",T62=""),"Incomplete",IF(OR(I62="Fail",P62&lt;=2,X62&lt;=3),"Failure","Reviewed")))</x:f>
        <x:v>Failure</x:v>
      </x:c>
    </x:row>
    <x:row r="63" ht="112" customHeight="1">
      <x:c r="A63" s="54" t="n">
        <x:v>60</x:v>
      </x:c>
      <x:c r="B63" s="54" t="str">
        <x:v>G030-B</x:v>
      </x:c>
      <x:c r="C63" s="54" t="str">
        <x:v>G030</x:v>
      </x:c>
      <x:c r="D63" s="54" t="str">
        <x:v>MV-KIT-001</x:v>
      </x:c>
      <x:c r="E63" s="54" t="str">
        <x:v>es-MX</x:v>
      </x:c>
      <x:c r="F63" s="54" t="str">
        <x:v>social_ad_copy</x:v>
      </x:c>
      <x:c r="G63" s="54" t="str">
        <x:v>B</x:v>
      </x:c>
      <x:c r="H63" s="22" t="str">
        <x:v>GANCHO: Tres pasos sencillos en un set para viaje.
TEXTO: Limpiador, sérum y crema hidratante sin fragancia añadida, reunidos en una caja compacta. Usa el limpiador, el sérum y la crema hidratante en ese orden, siguiendo las indicaciones de cada producto.
CTA: Consulta los detalles.</x:v>
      </x:c>
      <x:c r="I63" s="55" t="str">
        <x:v>Pass</x:v>
      </x:c>
      <x:c r="J63" s="55" t="n">
        <x:v>3</x:v>
      </x:c>
      <x:c r="K63" s="55" t="n">
        <x:v>5</x:v>
      </x:c>
      <x:c r="L63" s="55" t="n">
        <x:v>5</x:v>
      </x:c>
      <x:c r="M63" s="55" t="n">
        <x:v>5</x:v>
      </x:c>
      <x:c r="N63" s="55" t="n">
        <x:v>4</x:v>
      </x:c>
      <x:c r="O63" s="55" t="n">
        <x:v>4</x:v>
      </x:c>
      <x:c r="P63" s="55" t="n">
        <x:v>4</x:v>
      </x:c>
      <x:c r="Q63" s="55" t="n">
        <x:v>1</x:v>
      </x:c>
      <x:c r="R63" s="55" t="n">
        <x:v>4</x:v>
      </x:c>
      <x:c r="S63" s="58" t="n">
        <x:v>46231</x:v>
      </x:c>
      <x:c r="T63" s="55" t="str">
        <x:v>Reviewer-01</x:v>
      </x:c>
      <x:c r="U63" s="55" t="str">
        <x:v>Complete</x:v>
      </x:c>
      <x:c r="V63" s="50" t="str">
        <x:v>旅行三步骤和使用顺序表达自然可信，CTA适度；可补充容量信息及平台AI状态。</x:v>
      </x:c>
      <x:c r="W63" s="50" t="str">
        <x:v>None</x:v>
      </x:c>
      <x:c r="X63" s="57" t="n">
        <x:f>IF(COUNT(J63:P63)=7,AVERAGE(J63:P63),"")</x:f>
        <x:v>4.285714285714286</x:v>
      </x:c>
      <x:c r="Y63" s="56" t="str">
        <x:f>IF(U63&lt;&gt;"Complete","Pending",IF(OR(I63="",COUNT(J63:P63)&lt;7,Q63="",R63="",S63="",T63=""),"Incomplete",IF(OR(I63="Fail",P63&lt;=2,X63&lt;=3),"Failure","Reviewed")))</x:f>
        <x:v>Reviewed</x:v>
      </x:c>
    </x:row>
  </x:sheetData>
  <x:mergeCells>
    <x:mergeCell ref="A1:Y1"/>
    <x:mergeCell ref="A2:Y2"/>
  </x:mergeCells>
  <x:conditionalFormatting sqref="I4:I63">
    <x:cfRule type="containsText" dxfId="0" priority="1" operator="containsText" text="Pass"/>
    <x:cfRule type="containsText" dxfId="1" priority="2" operator="containsText" text="Fail"/>
  </x:conditionalFormatting>
  <x:conditionalFormatting sqref="U4:U63">
    <x:cfRule type="containsText" dxfId="2" priority="3" operator="containsText" text="Complete"/>
  </x:conditionalFormatting>
  <x:conditionalFormatting sqref="Y4:Y63">
    <x:cfRule type="containsText" dxfId="3" priority="4" operator="containsText" text="Failure"/>
    <x:cfRule type="containsText" dxfId="4" priority="5" operator="containsText" text="Incomplete"/>
  </x:conditionalFormatting>
  <x:conditionalFormatting sqref="J4:P63">
    <x:cfRule type="colorScale" priority="6">
      <x:colorScale>
        <x:cfvo type="min"/>
        <x:cfvo type="percentile" val="50"/>
        <x:cfvo type="max"/>
        <x:color rgb="FFFDE2E1"/>
        <x:color rgb="FFFFF3CD"/>
        <x:color rgb="FFD9EFD9"/>
      </x:colorScale>
    </x:cfRule>
  </x:conditionalFormatting>
  <x:dataValidations count="5">
    <x:dataValidation type="list" sqref="I4:I63">
      <x:formula1>"Pass,Fail"</x:formula1>
    </x:dataValidation>
    <x:dataValidation type="whole" operator="between" sqref="J4:P63">
      <x:formula1>1</x:formula1>
      <x:formula2>5</x:formula2>
    </x:dataValidation>
    <x:dataValidation type="whole" operator="between" sqref="Q4:Q63">
      <x:formula1>0</x:formula1>
      <x:formula2>20</x:formula2>
    </x:dataValidation>
    <x:dataValidation type="whole" operator="between" sqref="R4:R63">
      <x:formula1>1</x:formula1>
      <x:formula2>180</x:formula2>
    </x:dataValidation>
    <x:dataValidation type="list" sqref="U4:U63">
      <x:formula1>"Pending,Complete"</x:formula1>
    </x:dataValidation>
  </x:dataValidations>
  <x:pageMargins left="0.7" right="0.7" top="0.75" bottom="0.75" header="0.3" footer="0.3"/>
  <x:tableParts count="1">
    <x:tablePart xmlns:r="http://schemas.openxmlformats.org/officeDocument/2006/relationships" r:id="R674705235ed44b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1" hidden="0" customWidth="1"/>
    <x:col min="3" max="3" width="18" hidden="0" customWidth="1"/>
    <x:col min="4" max="4" width="10" hidden="0" customWidth="1"/>
    <x:col min="5" max="5" width="11" hidden="0" customWidth="1"/>
    <x:col min="6" max="6" width="22" hidden="0" customWidth="1"/>
    <x:col min="7" max="7" width="15" hidden="0" customWidth="1"/>
    <x:col min="8" max="8" width="15" hidden="0" customWidth="1"/>
    <x:col min="9" max="9" width="11" hidden="0" customWidth="1"/>
    <x:col min="10" max="10" width="11" hidden="0" customWidth="1"/>
    <x:col min="11" max="11" width="13" hidden="0" customWidth="1"/>
    <x:col min="12" max="12" width="11" hidden="0" customWidth="1"/>
    <x:col min="13" max="13" width="11" hidden="0" customWidth="1"/>
    <x:col min="14" max="14" width="15" hidden="0" customWidth="1"/>
    <x:col min="15" max="15" width="15" hidden="0" customWidth="1"/>
    <x:col min="16" max="16" width="12" hidden="0" customWidth="1"/>
    <x:col min="17" max="17" width="12" hidden="0" customWidth="1"/>
    <x:col min="18" max="18" width="14" hidden="0" customWidth="1"/>
  </x:cols>
  <x:sheetData>
    <x:row r="1" ht="34" customHeight="1">
      <x:c r="A1" s="3" t="str">
        <x:v>Pair Progress｜30 Blind A/B Groups</x:v>
      </x:c>
      <x:c r="B1" s="3"/>
      <x:c r="C1" s="3"/>
      <x:c r="D1" s="3"/>
      <x:c r="E1" s="3"/>
      <x:c r="F1" s="3"/>
      <x:c r="G1" s="3"/>
      <x:c r="H1" s="3"/>
      <x:c r="I1" s="3"/>
      <x:c r="J1" s="3"/>
      <x:c r="K1" s="3"/>
      <x:c r="L1" s="3"/>
      <x:c r="M1" s="3"/>
      <x:c r="N1" s="3"/>
      <x:c r="O1" s="3"/>
      <x:c r="P1" s="3"/>
      <x:c r="Q1" s="3"/>
      <x:c r="R1" s="3"/>
    </x:row>
    <x:row r="2">
      <x:c r="A2" s="6" t="str">
        <x:v>只展示匿名候选 A/B 的完成状态和分数；真实版本映射不在本工作簿中。</x:v>
      </x:c>
      <x:c r="B2" s="6"/>
      <x:c r="C2" s="6"/>
      <x:c r="D2" s="6"/>
      <x:c r="E2" s="6"/>
      <x:c r="F2" s="6"/>
      <x:c r="G2" s="6"/>
      <x:c r="H2" s="6"/>
      <x:c r="I2" s="6"/>
      <x:c r="J2" s="6"/>
      <x:c r="K2" s="6"/>
      <x:c r="L2" s="6"/>
      <x:c r="M2" s="6"/>
      <x:c r="N2" s="6"/>
      <x:c r="O2" s="6"/>
      <x:c r="P2" s="6"/>
      <x:c r="Q2" s="6"/>
      <x:c r="R2" s="6"/>
    </x:row>
    <x:row r="3">
      <x:c r="A3" s="16" t="str">
        <x:v>Order</x:v>
      </x:c>
      <x:c r="B3" s="45" t="str">
        <x:v>Group ID</x:v>
      </x:c>
      <x:c r="C3" s="45" t="str">
        <x:v>SKU</x:v>
      </x:c>
      <x:c r="D3" s="45" t="str">
        <x:v>Market</x:v>
      </x:c>
      <x:c r="E3" s="45" t="str">
        <x:v>Language</x:v>
      </x:c>
      <x:c r="F3" s="45" t="str">
        <x:v>Content Type</x:v>
      </x:c>
      <x:c r="G3" s="45" t="str">
        <x:v>Candidate A ID</x:v>
      </x:c>
      <x:c r="H3" s="45" t="str">
        <x:v>Candidate B ID</x:v>
      </x:c>
      <x:c r="I3" s="45" t="str">
        <x:v>A Mean</x:v>
      </x:c>
      <x:c r="J3" s="45" t="str">
        <x:v>B Mean</x:v>
      </x:c>
      <x:c r="K3" s="45" t="str">
        <x:v>Blind Gap A-B</x:v>
      </x:c>
      <x:c r="L3" s="45" t="str">
        <x:v>A Fact</x:v>
      </x:c>
      <x:c r="M3" s="45" t="str">
        <x:v>B Fact</x:v>
      </x:c>
      <x:c r="N3" s="45" t="str">
        <x:v>A Modifications</x:v>
      </x:c>
      <x:c r="O3" s="45" t="str">
        <x:v>B Modifications</x:v>
      </x:c>
      <x:c r="P3" s="45" t="str">
        <x:v>A Minutes</x:v>
      </x:c>
      <x:c r="Q3" s="45" t="str">
        <x:v>B Minutes</x:v>
      </x:c>
      <x:c r="R3" s="17" t="str">
        <x:v>Pair Status</x:v>
      </x:c>
    </x:row>
    <x:row r="4" ht="30" customHeight="1">
      <x:c r="A4" s="22" t="n">
        <x:v>1</x:v>
      </x:c>
      <x:c r="B4" s="22" t="str">
        <x:v>G001</x:v>
      </x:c>
      <x:c r="C4" s="22" t="str">
        <x:v>MV-CREAM-001</x:v>
      </x:c>
      <x:c r="D4" s="22" t="str">
        <x:v>US</x:v>
      </x:c>
      <x:c r="E4" s="22" t="str">
        <x:v>en-US</x:v>
      </x:c>
      <x:c r="F4" s="22" t="str">
        <x:v>short_video_script</x:v>
      </x:c>
      <x:c r="G4" s="22" t="str">
        <x:v>G001-A</x:v>
      </x:c>
      <x:c r="H4" s="22" t="str">
        <x:v>G001-B</x:v>
      </x:c>
      <x:c r="I4" s="59" t="n">
        <x:f>IF(OR('Blind Review'!$Y$4="Reviewed",'Blind Review'!$Y$4="Failure"),'Blind Review'!$X$4,"")</x:f>
        <x:v>3.142857142857143</x:v>
      </x:c>
      <x:c r="J4" s="59" t="n">
        <x:f>IF(OR('Blind Review'!$Y$5="Reviewed",'Blind Review'!$Y$5="Failure"),'Blind Review'!$X$5,"")</x:f>
        <x:v>4.285714285714286</x:v>
      </x:c>
      <x:c r="K4" s="59" t="n">
        <x:f>IF(COUNT(I4:J4)=2,I4-J4,"")</x:f>
        <x:v>-1.1428571428571428</x:v>
      </x:c>
      <x:c r="L4" s="53" t="str">
        <x:f>IF(OR('Blind Review'!$Y$4="Reviewed",'Blind Review'!$Y$4="Failure"),'Blind Review'!$I$4,"")</x:f>
        <x:v>Pass</x:v>
      </x:c>
      <x:c r="M4" s="53" t="str">
        <x:f>IF(OR('Blind Review'!$Y$5="Reviewed",'Blind Review'!$Y$5="Failure"),'Blind Review'!$I$5,"")</x:f>
        <x:v>Pass</x:v>
      </x:c>
      <x:c r="N4" s="53" t="n">
        <x:f>IF(OR('Blind Review'!$Y$4="Reviewed",'Blind Review'!$Y$4="Failure"),'Blind Review'!$Q$4,"")</x:f>
        <x:v>3</x:v>
      </x:c>
      <x:c r="O4" s="53" t="n">
        <x:f>IF(OR('Blind Review'!$Y$5="Reviewed",'Blind Review'!$Y$5="Failure"),'Blind Review'!$Q$5,"")</x:f>
        <x:v>1</x:v>
      </x:c>
      <x:c r="P4" s="53" t="n">
        <x:f>IF(OR('Blind Review'!$Y$4="Reviewed",'Blind Review'!$Y$4="Failure"),'Blind Review'!$R$4,"")</x:f>
        <x:v>5</x:v>
      </x:c>
      <x:c r="Q4" s="53" t="n">
        <x:f>IF(OR('Blind Review'!$Y$5="Reviewed",'Blind Review'!$Y$5="Failure"),'Blind Review'!$R$5,"")</x:f>
        <x:v>4</x:v>
      </x:c>
      <x:c r="R4" s="53" t="str">
        <x:f>IF(AND(OR('Blind Review'!$Y$4="Reviewed",'Blind Review'!$Y$4="Failure"),OR('Blind Review'!$Y$5="Reviewed",'Blind Review'!$Y$5="Failure")),"Complete","Pending")</x:f>
        <x:v>Complete</x:v>
      </x:c>
    </x:row>
    <x:row r="5" ht="30" customHeight="1">
      <x:c r="A5" s="22" t="n">
        <x:v>2</x:v>
      </x:c>
      <x:c r="B5" s="22" t="str">
        <x:v>G002</x:v>
      </x:c>
      <x:c r="C5" s="22" t="str">
        <x:v>MV-KIT-001</x:v>
      </x:c>
      <x:c r="D5" s="22" t="str">
        <x:v>US</x:v>
      </x:c>
      <x:c r="E5" s="22" t="str">
        <x:v>en-US</x:v>
      </x:c>
      <x:c r="F5" s="22" t="str">
        <x:v>social_ad_copy</x:v>
      </x:c>
      <x:c r="G5" s="22" t="str">
        <x:v>G002-A</x:v>
      </x:c>
      <x:c r="H5" s="22" t="str">
        <x:v>G002-B</x:v>
      </x:c>
      <x:c r="I5" s="59" t="n">
        <x:f>IF(OR('Blind Review'!$Y$6="Reviewed",'Blind Review'!$Y$6="Failure"),'Blind Review'!$X$6,"")</x:f>
        <x:v>2.7142857142857144</x:v>
      </x:c>
      <x:c r="J5" s="59" t="n">
        <x:f>IF(OR('Blind Review'!$Y$7="Reviewed",'Blind Review'!$Y$7="Failure"),'Blind Review'!$X$7,"")</x:f>
        <x:v>4.142857142857143</x:v>
      </x:c>
      <x:c r="K5" s="59" t="n">
        <x:f>IF(COUNT(I5:J5)=2,I5-J5,"")</x:f>
        <x:v>-1.4285714285714288</x:v>
      </x:c>
      <x:c r="L5" s="53" t="str">
        <x:f>IF(OR('Blind Review'!$Y$6="Reviewed",'Blind Review'!$Y$6="Failure"),'Blind Review'!$I$6,"")</x:f>
        <x:v>Fail</x:v>
      </x:c>
      <x:c r="M5" s="53" t="str">
        <x:f>IF(OR('Blind Review'!$Y$7="Reviewed",'Blind Review'!$Y$7="Failure"),'Blind Review'!$I$7,"")</x:f>
        <x:v>Pass</x:v>
      </x:c>
      <x:c r="N5" s="53" t="n">
        <x:f>IF(OR('Blind Review'!$Y$6="Reviewed",'Blind Review'!$Y$6="Failure"),'Blind Review'!$Q$6,"")</x:f>
        <x:v>3</x:v>
      </x:c>
      <x:c r="O5" s="53" t="n">
        <x:f>IF(OR('Blind Review'!$Y$7="Reviewed",'Blind Review'!$Y$7="Failure"),'Blind Review'!$Q$7,"")</x:f>
        <x:v>1</x:v>
      </x:c>
      <x:c r="P5" s="53" t="n">
        <x:f>IF(OR('Blind Review'!$Y$6="Reviewed",'Blind Review'!$Y$6="Failure"),'Blind Review'!$R$6,"")</x:f>
        <x:v>6</x:v>
      </x:c>
      <x:c r="Q5" s="53" t="n">
        <x:f>IF(OR('Blind Review'!$Y$7="Reviewed",'Blind Review'!$Y$7="Failure"),'Blind Review'!$R$7,"")</x:f>
        <x:v>4</x:v>
      </x:c>
      <x:c r="R5" s="53" t="str">
        <x:f>IF(AND(OR('Blind Review'!$Y$6="Reviewed",'Blind Review'!$Y$6="Failure"),OR('Blind Review'!$Y$7="Reviewed",'Blind Review'!$Y$7="Failure")),"Complete","Pending")</x:f>
        <x:v>Complete</x:v>
      </x:c>
    </x:row>
    <x:row r="6" ht="30" customHeight="1">
      <x:c r="A6" s="22" t="n">
        <x:v>3</x:v>
      </x:c>
      <x:c r="B6" s="22" t="str">
        <x:v>G003</x:v>
      </x:c>
      <x:c r="C6" s="22" t="str">
        <x:v>MV-HAND-001</x:v>
      </x:c>
      <x:c r="D6" s="22" t="str">
        <x:v>MX</x:v>
      </x:c>
      <x:c r="E6" s="22" t="str">
        <x:v>es-MX</x:v>
      </x:c>
      <x:c r="F6" s="22" t="str">
        <x:v>short_video_script</x:v>
      </x:c>
      <x:c r="G6" s="22" t="str">
        <x:v>G003-A</x:v>
      </x:c>
      <x:c r="H6" s="22" t="str">
        <x:v>G003-B</x:v>
      </x:c>
      <x:c r="I6" s="59" t="n">
        <x:f>IF(OR('Blind Review'!$Y$8="Reviewed",'Blind Review'!$Y$8="Failure"),'Blind Review'!$X$8,"")</x:f>
        <x:v>2.142857142857143</x:v>
      </x:c>
      <x:c r="J6" s="59" t="n">
        <x:f>IF(OR('Blind Review'!$Y$9="Reviewed",'Blind Review'!$Y$9="Failure"),'Blind Review'!$X$9,"")</x:f>
        <x:v>3.7142857142857144</x:v>
      </x:c>
      <x:c r="K6" s="59" t="n">
        <x:f>IF(COUNT(I6:J6)=2,I6-J6,"")</x:f>
        <x:v>-1.5714285714285716</x:v>
      </x:c>
      <x:c r="L6" s="53" t="str">
        <x:f>IF(OR('Blind Review'!$Y$8="Reviewed",'Blind Review'!$Y$8="Failure"),'Blind Review'!$I$8,"")</x:f>
        <x:v>Fail</x:v>
      </x:c>
      <x:c r="M6" s="53" t="str">
        <x:f>IF(OR('Blind Review'!$Y$9="Reviewed",'Blind Review'!$Y$9="Failure"),'Blind Review'!$I$9,"")</x:f>
        <x:v>Fail</x:v>
      </x:c>
      <x:c r="N6" s="53" t="n">
        <x:f>IF(OR('Blind Review'!$Y$8="Reviewed",'Blind Review'!$Y$8="Failure"),'Blind Review'!$Q$8,"")</x:f>
        <x:v>4</x:v>
      </x:c>
      <x:c r="O6" s="53" t="n">
        <x:f>IF(OR('Blind Review'!$Y$9="Reviewed",'Blind Review'!$Y$9="Failure"),'Blind Review'!$Q$9,"")</x:f>
        <x:v>2</x:v>
      </x:c>
      <x:c r="P6" s="53" t="n">
        <x:f>IF(OR('Blind Review'!$Y$8="Reviewed",'Blind Review'!$Y$8="Failure"),'Blind Review'!$R$8,"")</x:f>
        <x:v>7</x:v>
      </x:c>
      <x:c r="Q6" s="53" t="n">
        <x:f>IF(OR('Blind Review'!$Y$9="Reviewed",'Blind Review'!$Y$9="Failure"),'Blind Review'!$R$9,"")</x:f>
        <x:v>5</x:v>
      </x:c>
      <x:c r="R6" s="53" t="str">
        <x:f>IF(AND(OR('Blind Review'!$Y$8="Reviewed",'Blind Review'!$Y$8="Failure"),OR('Blind Review'!$Y$9="Reviewed",'Blind Review'!$Y$9="Failure")),"Complete","Pending")</x:f>
        <x:v>Complete</x:v>
      </x:c>
    </x:row>
    <x:row r="7" ht="30" customHeight="1">
      <x:c r="A7" s="22" t="n">
        <x:v>4</x:v>
      </x:c>
      <x:c r="B7" s="22" t="str">
        <x:v>G004</x:v>
      </x:c>
      <x:c r="C7" s="22" t="str">
        <x:v>MV-KIT-001</x:v>
      </x:c>
      <x:c r="D7" s="22" t="str">
        <x:v>MX</x:v>
      </x:c>
      <x:c r="E7" s="22" t="str">
        <x:v>es-MX</x:v>
      </x:c>
      <x:c r="F7" s="22" t="str">
        <x:v>short_video_script</x:v>
      </x:c>
      <x:c r="G7" s="22" t="str">
        <x:v>G004-A</x:v>
      </x:c>
      <x:c r="H7" s="22" t="str">
        <x:v>G004-B</x:v>
      </x:c>
      <x:c r="I7" s="59" t="n">
        <x:f>IF(OR('Blind Review'!$Y$10="Reviewed",'Blind Review'!$Y$10="Failure"),'Blind Review'!$X$10,"")</x:f>
        <x:v>4.285714285714286</x:v>
      </x:c>
      <x:c r="J7" s="59" t="n">
        <x:f>IF(OR('Blind Review'!$Y$11="Reviewed",'Blind Review'!$Y$11="Failure"),'Blind Review'!$X$11,"")</x:f>
        <x:v>2.142857142857143</x:v>
      </x:c>
      <x:c r="K7" s="59" t="n">
        <x:f>IF(COUNT(I7:J7)=2,I7-J7,"")</x:f>
        <x:v>2.142857142857143</x:v>
      </x:c>
      <x:c r="L7" s="53" t="str">
        <x:f>IF(OR('Blind Review'!$Y$10="Reviewed",'Blind Review'!$Y$10="Failure"),'Blind Review'!$I$10,"")</x:f>
        <x:v>Pass</x:v>
      </x:c>
      <x:c r="M7" s="53" t="str">
        <x:f>IF(OR('Blind Review'!$Y$11="Reviewed",'Blind Review'!$Y$11="Failure"),'Blind Review'!$I$11,"")</x:f>
        <x:v>Fail</x:v>
      </x:c>
      <x:c r="N7" s="53" t="n">
        <x:f>IF(OR('Blind Review'!$Y$10="Reviewed",'Blind Review'!$Y$10="Failure"),'Blind Review'!$Q$10,"")</x:f>
        <x:v>1</x:v>
      </x:c>
      <x:c r="O7" s="53" t="n">
        <x:f>IF(OR('Blind Review'!$Y$11="Reviewed",'Blind Review'!$Y$11="Failure"),'Blind Review'!$Q$11,"")</x:f>
        <x:v>4</x:v>
      </x:c>
      <x:c r="P7" s="53" t="n">
        <x:f>IF(OR('Blind Review'!$Y$10="Reviewed",'Blind Review'!$Y$10="Failure"),'Blind Review'!$R$10,"")</x:f>
        <x:v>4</x:v>
      </x:c>
      <x:c r="Q7" s="53" t="n">
        <x:f>IF(OR('Blind Review'!$Y$11="Reviewed",'Blind Review'!$Y$11="Failure"),'Blind Review'!$R$11,"")</x:f>
        <x:v>7</x:v>
      </x:c>
      <x:c r="R7" s="53" t="str">
        <x:f>IF(AND(OR('Blind Review'!$Y$10="Reviewed",'Blind Review'!$Y$10="Failure"),OR('Blind Review'!$Y$11="Reviewed",'Blind Review'!$Y$11="Failure")),"Complete","Pending")</x:f>
        <x:v>Complete</x:v>
      </x:c>
    </x:row>
    <x:row r="8" ht="30" customHeight="1">
      <x:c r="A8" s="22" t="n">
        <x:v>5</x:v>
      </x:c>
      <x:c r="B8" s="22" t="str">
        <x:v>G005</x:v>
      </x:c>
      <x:c r="C8" s="22" t="str">
        <x:v>MV-CLEAN-001</x:v>
      </x:c>
      <x:c r="D8" s="22" t="str">
        <x:v>MX</x:v>
      </x:c>
      <x:c r="E8" s="22" t="str">
        <x:v>es-MX</x:v>
      </x:c>
      <x:c r="F8" s="22" t="str">
        <x:v>social_ad_copy</x:v>
      </x:c>
      <x:c r="G8" s="22" t="str">
        <x:v>G005-A</x:v>
      </x:c>
      <x:c r="H8" s="22" t="str">
        <x:v>G005-B</x:v>
      </x:c>
      <x:c r="I8" s="59" t="n">
        <x:f>IF(OR('Blind Review'!$Y$12="Reviewed",'Blind Review'!$Y$12="Failure"),'Blind Review'!$X$12,"")</x:f>
        <x:v>3.857142857142857</x:v>
      </x:c>
      <x:c r="J8" s="59" t="n">
        <x:f>IF(OR('Blind Review'!$Y$13="Reviewed",'Blind Review'!$Y$13="Failure"),'Blind Review'!$X$13,"")</x:f>
        <x:v>4.285714285714286</x:v>
      </x:c>
      <x:c r="K8" s="59" t="n">
        <x:f>IF(COUNT(I8:J8)=2,I8-J8,"")</x:f>
        <x:v>-0.4285714285714284</x:v>
      </x:c>
      <x:c r="L8" s="53" t="str">
        <x:f>IF(OR('Blind Review'!$Y$12="Reviewed",'Blind Review'!$Y$12="Failure"),'Blind Review'!$I$12,"")</x:f>
        <x:v>Pass</x:v>
      </x:c>
      <x:c r="M8" s="53" t="str">
        <x:f>IF(OR('Blind Review'!$Y$13="Reviewed",'Blind Review'!$Y$13="Failure"),'Blind Review'!$I$13,"")</x:f>
        <x:v>Pass</x:v>
      </x:c>
      <x:c r="N8" s="53" t="n">
        <x:f>IF(OR('Blind Review'!$Y$12="Reviewed",'Blind Review'!$Y$12="Failure"),'Blind Review'!$Q$12,"")</x:f>
        <x:v>2</x:v>
      </x:c>
      <x:c r="O8" s="53" t="n">
        <x:f>IF(OR('Blind Review'!$Y$13="Reviewed",'Blind Review'!$Y$13="Failure"),'Blind Review'!$Q$13,"")</x:f>
        <x:v>1</x:v>
      </x:c>
      <x:c r="P8" s="53" t="n">
        <x:f>IF(OR('Blind Review'!$Y$12="Reviewed",'Blind Review'!$Y$12="Failure"),'Blind Review'!$R$12,"")</x:f>
        <x:v>5</x:v>
      </x:c>
      <x:c r="Q8" s="53" t="n">
        <x:f>IF(OR('Blind Review'!$Y$13="Reviewed",'Blind Review'!$Y$13="Failure"),'Blind Review'!$R$13,"")</x:f>
        <x:v>4</x:v>
      </x:c>
      <x:c r="R8" s="53" t="str">
        <x:f>IF(AND(OR('Blind Review'!$Y$12="Reviewed",'Blind Review'!$Y$12="Failure"),OR('Blind Review'!$Y$13="Reviewed",'Blind Review'!$Y$13="Failure")),"Complete","Pending")</x:f>
        <x:v>Complete</x:v>
      </x:c>
    </x:row>
    <x:row r="9" ht="30" customHeight="1">
      <x:c r="A9" s="22" t="n">
        <x:v>6</x:v>
      </x:c>
      <x:c r="B9" s="22" t="str">
        <x:v>G006</x:v>
      </x:c>
      <x:c r="C9" s="22" t="str">
        <x:v>MV-HAND-001</x:v>
      </x:c>
      <x:c r="D9" s="22" t="str">
        <x:v>US</x:v>
      </x:c>
      <x:c r="E9" s="22" t="str">
        <x:v>en-US</x:v>
      </x:c>
      <x:c r="F9" s="22" t="str">
        <x:v>short_video_script</x:v>
      </x:c>
      <x:c r="G9" s="22" t="str">
        <x:v>G006-A</x:v>
      </x:c>
      <x:c r="H9" s="22" t="str">
        <x:v>G006-B</x:v>
      </x:c>
      <x:c r="I9" s="59" t="n">
        <x:f>IF(OR('Blind Review'!$Y$14="Reviewed",'Blind Review'!$Y$14="Failure"),'Blind Review'!$X$14,"")</x:f>
        <x:v>3.857142857142857</x:v>
      </x:c>
      <x:c r="J9" s="59" t="n">
        <x:f>IF(OR('Blind Review'!$Y$15="Reviewed",'Blind Review'!$Y$15="Failure"),'Blind Review'!$X$15,"")</x:f>
        <x:v>2.4285714285714284</x:v>
      </x:c>
      <x:c r="K9" s="59" t="n">
        <x:f>IF(COUNT(I9:J9)=2,I9-J9,"")</x:f>
        <x:v>1.4285714285714288</x:v>
      </x:c>
      <x:c r="L9" s="53" t="str">
        <x:f>IF(OR('Blind Review'!$Y$14="Reviewed",'Blind Review'!$Y$14="Failure"),'Blind Review'!$I$14,"")</x:f>
        <x:v>Fail</x:v>
      </x:c>
      <x:c r="M9" s="53" t="str">
        <x:f>IF(OR('Blind Review'!$Y$15="Reviewed",'Blind Review'!$Y$15="Failure"),'Blind Review'!$I$15,"")</x:f>
        <x:v>Fail</x:v>
      </x:c>
      <x:c r="N9" s="53" t="n">
        <x:f>IF(OR('Blind Review'!$Y$14="Reviewed",'Blind Review'!$Y$14="Failure"),'Blind Review'!$Q$14,"")</x:f>
        <x:v>2</x:v>
      </x:c>
      <x:c r="O9" s="53" t="n">
        <x:f>IF(OR('Blind Review'!$Y$15="Reviewed",'Blind Review'!$Y$15="Failure"),'Blind Review'!$Q$15,"")</x:f>
        <x:v>4</x:v>
      </x:c>
      <x:c r="P9" s="53" t="n">
        <x:f>IF(OR('Blind Review'!$Y$14="Reviewed",'Blind Review'!$Y$14="Failure"),'Blind Review'!$R$14,"")</x:f>
        <x:v>5</x:v>
      </x:c>
      <x:c r="Q9" s="53" t="n">
        <x:f>IF(OR('Blind Review'!$Y$15="Reviewed",'Blind Review'!$Y$15="Failure"),'Blind Review'!$R$15,"")</x:f>
        <x:v>6</x:v>
      </x:c>
      <x:c r="R9" s="53" t="str">
        <x:f>IF(AND(OR('Blind Review'!$Y$14="Reviewed",'Blind Review'!$Y$14="Failure"),OR('Blind Review'!$Y$15="Reviewed",'Blind Review'!$Y$15="Failure")),"Complete","Pending")</x:f>
        <x:v>Complete</x:v>
      </x:c>
    </x:row>
    <x:row r="10" ht="30" customHeight="1">
      <x:c r="A10" s="22" t="n">
        <x:v>7</x:v>
      </x:c>
      <x:c r="B10" s="22" t="str">
        <x:v>G007</x:v>
      </x:c>
      <x:c r="C10" s="22" t="str">
        <x:v>MV-HAND-001</x:v>
      </x:c>
      <x:c r="D10" s="22" t="str">
        <x:v>US</x:v>
      </x:c>
      <x:c r="E10" s="22" t="str">
        <x:v>en-US</x:v>
      </x:c>
      <x:c r="F10" s="22" t="str">
        <x:v>product_listing</x:v>
      </x:c>
      <x:c r="G10" s="22" t="str">
        <x:v>G007-A</x:v>
      </x:c>
      <x:c r="H10" s="22" t="str">
        <x:v>G007-B</x:v>
      </x:c>
      <x:c r="I10" s="59" t="n">
        <x:f>IF(OR('Blind Review'!$Y$16="Reviewed",'Blind Review'!$Y$16="Failure"),'Blind Review'!$X$16,"")</x:f>
        <x:v>4</x:v>
      </x:c>
      <x:c r="J10" s="59" t="n">
        <x:f>IF(OR('Blind Review'!$Y$17="Reviewed",'Blind Review'!$Y$17="Failure"),'Blind Review'!$X$17,"")</x:f>
        <x:v>2.142857142857143</x:v>
      </x:c>
      <x:c r="K10" s="59" t="n">
        <x:f>IF(COUNT(I10:J10)=2,I10-J10,"")</x:f>
        <x:v>1.8571428571428572</x:v>
      </x:c>
      <x:c r="L10" s="53" t="str">
        <x:f>IF(OR('Blind Review'!$Y$16="Reviewed",'Blind Review'!$Y$16="Failure"),'Blind Review'!$I$16,"")</x:f>
        <x:v>Fail</x:v>
      </x:c>
      <x:c r="M10" s="53" t="str">
        <x:f>IF(OR('Blind Review'!$Y$17="Reviewed",'Blind Review'!$Y$17="Failure"),'Blind Review'!$I$17,"")</x:f>
        <x:v>Fail</x:v>
      </x:c>
      <x:c r="N10" s="53" t="n">
        <x:f>IF(OR('Blind Review'!$Y$16="Reviewed",'Blind Review'!$Y$16="Failure"),'Blind Review'!$Q$16,"")</x:f>
        <x:v>2</x:v>
      </x:c>
      <x:c r="O10" s="53" t="n">
        <x:f>IF(OR('Blind Review'!$Y$17="Reviewed",'Blind Review'!$Y$17="Failure"),'Blind Review'!$Q$17,"")</x:f>
        <x:v>5</x:v>
      </x:c>
      <x:c r="P10" s="53" t="n">
        <x:f>IF(OR('Blind Review'!$Y$16="Reviewed",'Blind Review'!$Y$16="Failure"),'Blind Review'!$R$16,"")</x:f>
        <x:v>6</x:v>
      </x:c>
      <x:c r="Q10" s="53" t="n">
        <x:f>IF(OR('Blind Review'!$Y$17="Reviewed",'Blind Review'!$Y$17="Failure"),'Blind Review'!$R$17,"")</x:f>
        <x:v>8</x:v>
      </x:c>
      <x:c r="R10" s="53" t="str">
        <x:f>IF(AND(OR('Blind Review'!$Y$16="Reviewed",'Blind Review'!$Y$16="Failure"),OR('Blind Review'!$Y$17="Reviewed",'Blind Review'!$Y$17="Failure")),"Complete","Pending")</x:f>
        <x:v>Complete</x:v>
      </x:c>
    </x:row>
    <x:row r="11" ht="30" customHeight="1">
      <x:c r="A11" s="22" t="n">
        <x:v>8</x:v>
      </x:c>
      <x:c r="B11" s="22" t="str">
        <x:v>G008</x:v>
      </x:c>
      <x:c r="C11" s="22" t="str">
        <x:v>MV-CLEAN-001</x:v>
      </x:c>
      <x:c r="D11" s="22" t="str">
        <x:v>MX</x:v>
      </x:c>
      <x:c r="E11" s="22" t="str">
        <x:v>es-MX</x:v>
      </x:c>
      <x:c r="F11" s="22" t="str">
        <x:v>short_video_script</x:v>
      </x:c>
      <x:c r="G11" s="22" t="str">
        <x:v>G008-A</x:v>
      </x:c>
      <x:c r="H11" s="22" t="str">
        <x:v>G008-B</x:v>
      </x:c>
      <x:c r="I11" s="59" t="n">
        <x:f>IF(OR('Blind Review'!$Y$18="Reviewed",'Blind Review'!$Y$18="Failure"),'Blind Review'!$X$18,"")</x:f>
        <x:v>3.142857142857143</x:v>
      </x:c>
      <x:c r="J11" s="59" t="n">
        <x:f>IF(OR('Blind Review'!$Y$19="Reviewed",'Blind Review'!$Y$19="Failure"),'Blind Review'!$X$19,"")</x:f>
        <x:v>4.285714285714286</x:v>
      </x:c>
      <x:c r="K11" s="59" t="n">
        <x:f>IF(COUNT(I11:J11)=2,I11-J11,"")</x:f>
        <x:v>-1.1428571428571428</x:v>
      </x:c>
      <x:c r="L11" s="53" t="str">
        <x:f>IF(OR('Blind Review'!$Y$18="Reviewed",'Blind Review'!$Y$18="Failure"),'Blind Review'!$I$18,"")</x:f>
        <x:v>Pass</x:v>
      </x:c>
      <x:c r="M11" s="53" t="str">
        <x:f>IF(OR('Blind Review'!$Y$19="Reviewed",'Blind Review'!$Y$19="Failure"),'Blind Review'!$I$19,"")</x:f>
        <x:v>Pass</x:v>
      </x:c>
      <x:c r="N11" s="53" t="n">
        <x:f>IF(OR('Blind Review'!$Y$18="Reviewed",'Blind Review'!$Y$18="Failure"),'Blind Review'!$Q$18,"")</x:f>
        <x:v>3</x:v>
      </x:c>
      <x:c r="O11" s="53" t="n">
        <x:f>IF(OR('Blind Review'!$Y$19="Reviewed",'Blind Review'!$Y$19="Failure"),'Blind Review'!$Q$19,"")</x:f>
        <x:v>1</x:v>
      </x:c>
      <x:c r="P11" s="53" t="n">
        <x:f>IF(OR('Blind Review'!$Y$18="Reviewed",'Blind Review'!$Y$18="Failure"),'Blind Review'!$R$18,"")</x:f>
        <x:v>5</x:v>
      </x:c>
      <x:c r="Q11" s="53" t="n">
        <x:f>IF(OR('Blind Review'!$Y$19="Reviewed",'Blind Review'!$Y$19="Failure"),'Blind Review'!$R$19,"")</x:f>
        <x:v>4</x:v>
      </x:c>
      <x:c r="R11" s="53" t="str">
        <x:f>IF(AND(OR('Blind Review'!$Y$18="Reviewed",'Blind Review'!$Y$18="Failure"),OR('Blind Review'!$Y$19="Reviewed",'Blind Review'!$Y$19="Failure")),"Complete","Pending")</x:f>
        <x:v>Complete</x:v>
      </x:c>
    </x:row>
    <x:row r="12" ht="30" customHeight="1">
      <x:c r="A12" s="22" t="n">
        <x:v>9</x:v>
      </x:c>
      <x:c r="B12" s="22" t="str">
        <x:v>G009</x:v>
      </x:c>
      <x:c r="C12" s="22" t="str">
        <x:v>MV-KIT-001</x:v>
      </x:c>
      <x:c r="D12" s="22" t="str">
        <x:v>US</x:v>
      </x:c>
      <x:c r="E12" s="22" t="str">
        <x:v>en-US</x:v>
      </x:c>
      <x:c r="F12" s="22" t="str">
        <x:v>short_video_script</x:v>
      </x:c>
      <x:c r="G12" s="22" t="str">
        <x:v>G009-A</x:v>
      </x:c>
      <x:c r="H12" s="22" t="str">
        <x:v>G009-B</x:v>
      </x:c>
      <x:c r="I12" s="59" t="n">
        <x:f>IF(OR('Blind Review'!$Y$20="Reviewed",'Blind Review'!$Y$20="Failure"),'Blind Review'!$X$20,"")</x:f>
        <x:v>2.4285714285714284</x:v>
      </x:c>
      <x:c r="J12" s="59" t="n">
        <x:f>IF(OR('Blind Review'!$Y$21="Reviewed",'Blind Review'!$Y$21="Failure"),'Blind Review'!$X$21,"")</x:f>
        <x:v>4.285714285714286</x:v>
      </x:c>
      <x:c r="K12" s="59" t="n">
        <x:f>IF(COUNT(I12:J12)=2,I12-J12,"")</x:f>
        <x:v>-1.8571428571428572</x:v>
      </x:c>
      <x:c r="L12" s="53" t="str">
        <x:f>IF(OR('Blind Review'!$Y$20="Reviewed",'Blind Review'!$Y$20="Failure"),'Blind Review'!$I$20,"")</x:f>
        <x:v>Fail</x:v>
      </x:c>
      <x:c r="M12" s="53" t="str">
        <x:f>IF(OR('Blind Review'!$Y$21="Reviewed",'Blind Review'!$Y$21="Failure"),'Blind Review'!$I$21,"")</x:f>
        <x:v>Pass</x:v>
      </x:c>
      <x:c r="N12" s="53" t="n">
        <x:f>IF(OR('Blind Review'!$Y$20="Reviewed",'Blind Review'!$Y$20="Failure"),'Blind Review'!$Q$20,"")</x:f>
        <x:v>4</x:v>
      </x:c>
      <x:c r="O12" s="53" t="n">
        <x:f>IF(OR('Blind Review'!$Y$21="Reviewed",'Blind Review'!$Y$21="Failure"),'Blind Review'!$Q$21,"")</x:f>
        <x:v>1</x:v>
      </x:c>
      <x:c r="P12" s="53" t="n">
        <x:f>IF(OR('Blind Review'!$Y$20="Reviewed",'Blind Review'!$Y$20="Failure"),'Blind Review'!$R$20,"")</x:f>
        <x:v>7</x:v>
      </x:c>
      <x:c r="Q12" s="53" t="n">
        <x:f>IF(OR('Blind Review'!$Y$21="Reviewed",'Blind Review'!$Y$21="Failure"),'Blind Review'!$R$21,"")</x:f>
        <x:v>4</x:v>
      </x:c>
      <x:c r="R12" s="53" t="str">
        <x:f>IF(AND(OR('Blind Review'!$Y$20="Reviewed",'Blind Review'!$Y$20="Failure"),OR('Blind Review'!$Y$21="Reviewed",'Blind Review'!$Y$21="Failure")),"Complete","Pending")</x:f>
        <x:v>Complete</x:v>
      </x:c>
    </x:row>
    <x:row r="13" ht="30" customHeight="1">
      <x:c r="A13" s="22" t="n">
        <x:v>10</x:v>
      </x:c>
      <x:c r="B13" s="22" t="str">
        <x:v>G010</x:v>
      </x:c>
      <x:c r="C13" s="22" t="str">
        <x:v>MV-SERUM-001</x:v>
      </x:c>
      <x:c r="D13" s="22" t="str">
        <x:v>US</x:v>
      </x:c>
      <x:c r="E13" s="22" t="str">
        <x:v>en-US</x:v>
      </x:c>
      <x:c r="F13" s="22" t="str">
        <x:v>short_video_script</x:v>
      </x:c>
      <x:c r="G13" s="22" t="str">
        <x:v>G010-A</x:v>
      </x:c>
      <x:c r="H13" s="22" t="str">
        <x:v>G010-B</x:v>
      </x:c>
      <x:c r="I13" s="59" t="n">
        <x:f>IF(OR('Blind Review'!$Y$22="Reviewed",'Blind Review'!$Y$22="Failure"),'Blind Review'!$X$22,"")</x:f>
        <x:v>3.142857142857143</x:v>
      </x:c>
      <x:c r="J13" s="59" t="n">
        <x:f>IF(OR('Blind Review'!$Y$23="Reviewed",'Blind Review'!$Y$23="Failure"),'Blind Review'!$X$23,"")</x:f>
        <x:v>4.285714285714286</x:v>
      </x:c>
      <x:c r="K13" s="59" t="n">
        <x:f>IF(COUNT(I13:J13)=2,I13-J13,"")</x:f>
        <x:v>-1.1428571428571428</x:v>
      </x:c>
      <x:c r="L13" s="53" t="str">
        <x:f>IF(OR('Blind Review'!$Y$22="Reviewed",'Blind Review'!$Y$22="Failure"),'Blind Review'!$I$22,"")</x:f>
        <x:v>Pass</x:v>
      </x:c>
      <x:c r="M13" s="53" t="str">
        <x:f>IF(OR('Blind Review'!$Y$23="Reviewed",'Blind Review'!$Y$23="Failure"),'Blind Review'!$I$23,"")</x:f>
        <x:v>Pass</x:v>
      </x:c>
      <x:c r="N13" s="53" t="n">
        <x:f>IF(OR('Blind Review'!$Y$22="Reviewed",'Blind Review'!$Y$22="Failure"),'Blind Review'!$Q$22,"")</x:f>
        <x:v>3</x:v>
      </x:c>
      <x:c r="O13" s="53" t="n">
        <x:f>IF(OR('Blind Review'!$Y$23="Reviewed",'Blind Review'!$Y$23="Failure"),'Blind Review'!$Q$23,"")</x:f>
        <x:v>1</x:v>
      </x:c>
      <x:c r="P13" s="53" t="n">
        <x:f>IF(OR('Blind Review'!$Y$22="Reviewed",'Blind Review'!$Y$22="Failure"),'Blind Review'!$R$22,"")</x:f>
        <x:v>5</x:v>
      </x:c>
      <x:c r="Q13" s="53" t="n">
        <x:f>IF(OR('Blind Review'!$Y$23="Reviewed",'Blind Review'!$Y$23="Failure"),'Blind Review'!$R$23,"")</x:f>
        <x:v>4</x:v>
      </x:c>
      <x:c r="R13" s="53" t="str">
        <x:f>IF(AND(OR('Blind Review'!$Y$22="Reviewed",'Blind Review'!$Y$22="Failure"),OR('Blind Review'!$Y$23="Reviewed",'Blind Review'!$Y$23="Failure")),"Complete","Pending")</x:f>
        <x:v>Complete</x:v>
      </x:c>
    </x:row>
    <x:row r="14" ht="30" customHeight="1">
      <x:c r="A14" s="22" t="n">
        <x:v>11</x:v>
      </x:c>
      <x:c r="B14" s="22" t="str">
        <x:v>G011</x:v>
      </x:c>
      <x:c r="C14" s="22" t="str">
        <x:v>MV-CREAM-001</x:v>
      </x:c>
      <x:c r="D14" s="22" t="str">
        <x:v>MX</x:v>
      </x:c>
      <x:c r="E14" s="22" t="str">
        <x:v>es-MX</x:v>
      </x:c>
      <x:c r="F14" s="22" t="str">
        <x:v>social_ad_copy</x:v>
      </x:c>
      <x:c r="G14" s="22" t="str">
        <x:v>G011-A</x:v>
      </x:c>
      <x:c r="H14" s="22" t="str">
        <x:v>G011-B</x:v>
      </x:c>
      <x:c r="I14" s="59" t="n">
        <x:f>IF(OR('Blind Review'!$Y$24="Reviewed",'Blind Review'!$Y$24="Failure"),'Blind Review'!$X$24,"")</x:f>
        <x:v>4.428571428571429</x:v>
      </x:c>
      <x:c r="J14" s="59" t="n">
        <x:f>IF(OR('Blind Review'!$Y$25="Reviewed",'Blind Review'!$Y$25="Failure"),'Blind Review'!$X$25,"")</x:f>
        <x:v>3.4285714285714284</x:v>
      </x:c>
      <x:c r="K14" s="59" t="n">
        <x:f>IF(COUNT(I14:J14)=2,I14-J14,"")</x:f>
        <x:v>1.0000000000000004</x:v>
      </x:c>
      <x:c r="L14" s="53" t="str">
        <x:f>IF(OR('Blind Review'!$Y$24="Reviewed",'Blind Review'!$Y$24="Failure"),'Blind Review'!$I$24,"")</x:f>
        <x:v>Pass</x:v>
      </x:c>
      <x:c r="M14" s="53" t="str">
        <x:f>IF(OR('Blind Review'!$Y$25="Reviewed",'Blind Review'!$Y$25="Failure"),'Blind Review'!$I$25,"")</x:f>
        <x:v>Pass</x:v>
      </x:c>
      <x:c r="N14" s="53" t="n">
        <x:f>IF(OR('Blind Review'!$Y$24="Reviewed",'Blind Review'!$Y$24="Failure"),'Blind Review'!$Q$24,"")</x:f>
        <x:v>1</x:v>
      </x:c>
      <x:c r="O14" s="53" t="n">
        <x:f>IF(OR('Blind Review'!$Y$25="Reviewed",'Blind Review'!$Y$25="Failure"),'Blind Review'!$Q$25,"")</x:f>
        <x:v>2</x:v>
      </x:c>
      <x:c r="P14" s="53" t="n">
        <x:f>IF(OR('Blind Review'!$Y$24="Reviewed",'Blind Review'!$Y$24="Failure"),'Blind Review'!$R$24,"")</x:f>
        <x:v>4</x:v>
      </x:c>
      <x:c r="Q14" s="53" t="n">
        <x:f>IF(OR('Blind Review'!$Y$25="Reviewed",'Blind Review'!$Y$25="Failure"),'Blind Review'!$R$25,"")</x:f>
        <x:v>5</x:v>
      </x:c>
      <x:c r="R14" s="53" t="str">
        <x:f>IF(AND(OR('Blind Review'!$Y$24="Reviewed",'Blind Review'!$Y$24="Failure"),OR('Blind Review'!$Y$25="Reviewed",'Blind Review'!$Y$25="Failure")),"Complete","Pending")</x:f>
        <x:v>Complete</x:v>
      </x:c>
    </x:row>
    <x:row r="15" ht="30" customHeight="1">
      <x:c r="A15" s="22" t="n">
        <x:v>12</x:v>
      </x:c>
      <x:c r="B15" s="22" t="str">
        <x:v>G012</x:v>
      </x:c>
      <x:c r="C15" s="22" t="str">
        <x:v>MV-CREAM-001</x:v>
      </x:c>
      <x:c r="D15" s="22" t="str">
        <x:v>MX</x:v>
      </x:c>
      <x:c r="E15" s="22" t="str">
        <x:v>es-MX</x:v>
      </x:c>
      <x:c r="F15" s="22" t="str">
        <x:v>short_video_script</x:v>
      </x:c>
      <x:c r="G15" s="22" t="str">
        <x:v>G012-A</x:v>
      </x:c>
      <x:c r="H15" s="22" t="str">
        <x:v>G012-B</x:v>
      </x:c>
      <x:c r="I15" s="59" t="n">
        <x:f>IF(OR('Blind Review'!$Y$26="Reviewed",'Blind Review'!$Y$26="Failure"),'Blind Review'!$X$26,"")</x:f>
        <x:v>3</x:v>
      </x:c>
      <x:c r="J15" s="59" t="n">
        <x:f>IF(OR('Blind Review'!$Y$27="Reviewed",'Blind Review'!$Y$27="Failure"),'Blind Review'!$X$27,"")</x:f>
        <x:v>4.428571428571429</x:v>
      </x:c>
      <x:c r="K15" s="59" t="n">
        <x:f>IF(COUNT(I15:J15)=2,I15-J15,"")</x:f>
        <x:v>-1.4285714285714288</x:v>
      </x:c>
      <x:c r="L15" s="53" t="str">
        <x:f>IF(OR('Blind Review'!$Y$26="Reviewed",'Blind Review'!$Y$26="Failure"),'Blind Review'!$I$26,"")</x:f>
        <x:v>Pass</x:v>
      </x:c>
      <x:c r="M15" s="53" t="str">
        <x:f>IF(OR('Blind Review'!$Y$27="Reviewed",'Blind Review'!$Y$27="Failure"),'Blind Review'!$I$27,"")</x:f>
        <x:v>Pass</x:v>
      </x:c>
      <x:c r="N15" s="53" t="n">
        <x:f>IF(OR('Blind Review'!$Y$26="Reviewed",'Blind Review'!$Y$26="Failure"),'Blind Review'!$Q$26,"")</x:f>
        <x:v>3</x:v>
      </x:c>
      <x:c r="O15" s="53" t="n">
        <x:f>IF(OR('Blind Review'!$Y$27="Reviewed",'Blind Review'!$Y$27="Failure"),'Blind Review'!$Q$27,"")</x:f>
        <x:v>1</x:v>
      </x:c>
      <x:c r="P15" s="53" t="n">
        <x:f>IF(OR('Blind Review'!$Y$26="Reviewed",'Blind Review'!$Y$26="Failure"),'Blind Review'!$R$26,"")</x:f>
        <x:v>6</x:v>
      </x:c>
      <x:c r="Q15" s="53" t="n">
        <x:f>IF(OR('Blind Review'!$Y$27="Reviewed",'Blind Review'!$Y$27="Failure"),'Blind Review'!$R$27,"")</x:f>
        <x:v>4</x:v>
      </x:c>
      <x:c r="R15" s="53" t="str">
        <x:f>IF(AND(OR('Blind Review'!$Y$26="Reviewed",'Blind Review'!$Y$26="Failure"),OR('Blind Review'!$Y$27="Reviewed",'Blind Review'!$Y$27="Failure")),"Complete","Pending")</x:f>
        <x:v>Complete</x:v>
      </x:c>
    </x:row>
    <x:row r="16" ht="30" customHeight="1">
      <x:c r="A16" s="22" t="n">
        <x:v>13</x:v>
      </x:c>
      <x:c r="B16" s="22" t="str">
        <x:v>G013</x:v>
      </x:c>
      <x:c r="C16" s="22" t="str">
        <x:v>MV-CLEAN-001</x:v>
      </x:c>
      <x:c r="D16" s="22" t="str">
        <x:v>US</x:v>
      </x:c>
      <x:c r="E16" s="22" t="str">
        <x:v>en-US</x:v>
      </x:c>
      <x:c r="F16" s="22" t="str">
        <x:v>short_video_script</x:v>
      </x:c>
      <x:c r="G16" s="22" t="str">
        <x:v>G013-A</x:v>
      </x:c>
      <x:c r="H16" s="22" t="str">
        <x:v>G013-B</x:v>
      </x:c>
      <x:c r="I16" s="59" t="n">
        <x:f>IF(OR('Blind Review'!$Y$28="Reviewed",'Blind Review'!$Y$28="Failure"),'Blind Review'!$X$28,"")</x:f>
        <x:v>3.142857142857143</x:v>
      </x:c>
      <x:c r="J16" s="59" t="n">
        <x:f>IF(OR('Blind Review'!$Y$29="Reviewed",'Blind Review'!$Y$29="Failure"),'Blind Review'!$X$29,"")</x:f>
        <x:v>4.285714285714286</x:v>
      </x:c>
      <x:c r="K16" s="59" t="n">
        <x:f>IF(COUNT(I16:J16)=2,I16-J16,"")</x:f>
        <x:v>-1.1428571428571428</x:v>
      </x:c>
      <x:c r="L16" s="53" t="str">
        <x:f>IF(OR('Blind Review'!$Y$28="Reviewed",'Blind Review'!$Y$28="Failure"),'Blind Review'!$I$28,"")</x:f>
        <x:v>Pass</x:v>
      </x:c>
      <x:c r="M16" s="53" t="str">
        <x:f>IF(OR('Blind Review'!$Y$29="Reviewed",'Blind Review'!$Y$29="Failure"),'Blind Review'!$I$29,"")</x:f>
        <x:v>Pass</x:v>
      </x:c>
      <x:c r="N16" s="53" t="n">
        <x:f>IF(OR('Blind Review'!$Y$28="Reviewed",'Blind Review'!$Y$28="Failure"),'Blind Review'!$Q$28,"")</x:f>
        <x:v>3</x:v>
      </x:c>
      <x:c r="O16" s="53" t="n">
        <x:f>IF(OR('Blind Review'!$Y$29="Reviewed",'Blind Review'!$Y$29="Failure"),'Blind Review'!$Q$29,"")</x:f>
        <x:v>1</x:v>
      </x:c>
      <x:c r="P16" s="53" t="n">
        <x:f>IF(OR('Blind Review'!$Y$28="Reviewed",'Blind Review'!$Y$28="Failure"),'Blind Review'!$R$28,"")</x:f>
        <x:v>5</x:v>
      </x:c>
      <x:c r="Q16" s="53" t="n">
        <x:f>IF(OR('Blind Review'!$Y$29="Reviewed",'Blind Review'!$Y$29="Failure"),'Blind Review'!$R$29,"")</x:f>
        <x:v>4</x:v>
      </x:c>
      <x:c r="R16" s="53" t="str">
        <x:f>IF(AND(OR('Blind Review'!$Y$28="Reviewed",'Blind Review'!$Y$28="Failure"),OR('Blind Review'!$Y$29="Reviewed",'Blind Review'!$Y$29="Failure")),"Complete","Pending")</x:f>
        <x:v>Complete</x:v>
      </x:c>
    </x:row>
    <x:row r="17" ht="30" customHeight="1">
      <x:c r="A17" s="22" t="n">
        <x:v>14</x:v>
      </x:c>
      <x:c r="B17" s="22" t="str">
        <x:v>G014</x:v>
      </x:c>
      <x:c r="C17" s="22" t="str">
        <x:v>MV-SERUM-001</x:v>
      </x:c>
      <x:c r="D17" s="22" t="str">
        <x:v>MX</x:v>
      </x:c>
      <x:c r="E17" s="22" t="str">
        <x:v>es-MX</x:v>
      </x:c>
      <x:c r="F17" s="22" t="str">
        <x:v>social_ad_copy</x:v>
      </x:c>
      <x:c r="G17" s="22" t="str">
        <x:v>G014-A</x:v>
      </x:c>
      <x:c r="H17" s="22" t="str">
        <x:v>G014-B</x:v>
      </x:c>
      <x:c r="I17" s="59" t="n">
        <x:f>IF(OR('Blind Review'!$Y$30="Reviewed",'Blind Review'!$Y$30="Failure"),'Blind Review'!$X$30,"")</x:f>
        <x:v>4.428571428571429</x:v>
      </x:c>
      <x:c r="J17" s="59" t="n">
        <x:f>IF(OR('Blind Review'!$Y$31="Reviewed",'Blind Review'!$Y$31="Failure"),'Blind Review'!$X$31,"")</x:f>
        <x:v>3.2857142857142856</x:v>
      </x:c>
      <x:c r="K17" s="59" t="n">
        <x:f>IF(COUNT(I17:J17)=2,I17-J17,"")</x:f>
        <x:v>1.1428571428571432</x:v>
      </x:c>
      <x:c r="L17" s="53" t="str">
        <x:f>IF(OR('Blind Review'!$Y$30="Reviewed",'Blind Review'!$Y$30="Failure"),'Blind Review'!$I$30,"")</x:f>
        <x:v>Pass</x:v>
      </x:c>
      <x:c r="M17" s="53" t="str">
        <x:f>IF(OR('Blind Review'!$Y$31="Reviewed",'Blind Review'!$Y$31="Failure"),'Blind Review'!$I$31,"")</x:f>
        <x:v>Pass</x:v>
      </x:c>
      <x:c r="N17" s="53" t="n">
        <x:f>IF(OR('Blind Review'!$Y$30="Reviewed",'Blind Review'!$Y$30="Failure"),'Blind Review'!$Q$30,"")</x:f>
        <x:v>1</x:v>
      </x:c>
      <x:c r="O17" s="53" t="n">
        <x:f>IF(OR('Blind Review'!$Y$31="Reviewed",'Blind Review'!$Y$31="Failure"),'Blind Review'!$Q$31,"")</x:f>
        <x:v>3</x:v>
      </x:c>
      <x:c r="P17" s="53" t="n">
        <x:f>IF(OR('Blind Review'!$Y$30="Reviewed",'Blind Review'!$Y$30="Failure"),'Blind Review'!$R$30,"")</x:f>
        <x:v>4</x:v>
      </x:c>
      <x:c r="Q17" s="53" t="n">
        <x:f>IF(OR('Blind Review'!$Y$31="Reviewed",'Blind Review'!$Y$31="Failure"),'Blind Review'!$R$31,"")</x:f>
        <x:v>5</x:v>
      </x:c>
      <x:c r="R17" s="53" t="str">
        <x:f>IF(AND(OR('Blind Review'!$Y$30="Reviewed",'Blind Review'!$Y$30="Failure"),OR('Blind Review'!$Y$31="Reviewed",'Blind Review'!$Y$31="Failure")),"Complete","Pending")</x:f>
        <x:v>Complete</x:v>
      </x:c>
    </x:row>
    <x:row r="18" ht="30" customHeight="1">
      <x:c r="A18" s="22" t="n">
        <x:v>15</x:v>
      </x:c>
      <x:c r="B18" s="22" t="str">
        <x:v>G015</x:v>
      </x:c>
      <x:c r="C18" s="22" t="str">
        <x:v>MV-KIT-001</x:v>
      </x:c>
      <x:c r="D18" s="22" t="str">
        <x:v>MX</x:v>
      </x:c>
      <x:c r="E18" s="22" t="str">
        <x:v>es-MX</x:v>
      </x:c>
      <x:c r="F18" s="22" t="str">
        <x:v>product_listing</x:v>
      </x:c>
      <x:c r="G18" s="22" t="str">
        <x:v>G015-A</x:v>
      </x:c>
      <x:c r="H18" s="22" t="str">
        <x:v>G015-B</x:v>
      </x:c>
      <x:c r="I18" s="59" t="n">
        <x:f>IF(OR('Blind Review'!$Y$32="Reviewed",'Blind Review'!$Y$32="Failure"),'Blind Review'!$X$32,"")</x:f>
        <x:v>1.8571428571428572</x:v>
      </x:c>
      <x:c r="J18" s="59" t="n">
        <x:f>IF(OR('Blind Review'!$Y$33="Reviewed",'Blind Review'!$Y$33="Failure"),'Blind Review'!$X$33,"")</x:f>
        <x:v>3.857142857142857</x:v>
      </x:c>
      <x:c r="K18" s="59" t="n">
        <x:f>IF(COUNT(I18:J18)=2,I18-J18,"")</x:f>
        <x:v>-2</x:v>
      </x:c>
      <x:c r="L18" s="53" t="str">
        <x:f>IF(OR('Blind Review'!$Y$32="Reviewed",'Blind Review'!$Y$32="Failure"),'Blind Review'!$I$32,"")</x:f>
        <x:v>Fail</x:v>
      </x:c>
      <x:c r="M18" s="53" t="str">
        <x:f>IF(OR('Blind Review'!$Y$33="Reviewed",'Blind Review'!$Y$33="Failure"),'Blind Review'!$I$33,"")</x:f>
        <x:v>Pass</x:v>
      </x:c>
      <x:c r="N18" s="53" t="n">
        <x:f>IF(OR('Blind Review'!$Y$32="Reviewed",'Blind Review'!$Y$32="Failure"),'Blind Review'!$Q$32,"")</x:f>
        <x:v>5</x:v>
      </x:c>
      <x:c r="O18" s="53" t="n">
        <x:f>IF(OR('Blind Review'!$Y$33="Reviewed",'Blind Review'!$Y$33="Failure"),'Blind Review'!$Q$33,"")</x:f>
        <x:v>2</x:v>
      </x:c>
      <x:c r="P18" s="53" t="n">
        <x:f>IF(OR('Blind Review'!$Y$32="Reviewed",'Blind Review'!$Y$32="Failure"),'Blind Review'!$R$32,"")</x:f>
        <x:v>8</x:v>
      </x:c>
      <x:c r="Q18" s="53" t="n">
        <x:f>IF(OR('Blind Review'!$Y$33="Reviewed",'Blind Review'!$Y$33="Failure"),'Blind Review'!$R$33,"")</x:f>
        <x:v>6</x:v>
      </x:c>
      <x:c r="R18" s="53" t="str">
        <x:f>IF(AND(OR('Blind Review'!$Y$32="Reviewed",'Blind Review'!$Y$32="Failure"),OR('Blind Review'!$Y$33="Reviewed",'Blind Review'!$Y$33="Failure")),"Complete","Pending")</x:f>
        <x:v>Complete</x:v>
      </x:c>
    </x:row>
    <x:row r="19" ht="30" customHeight="1">
      <x:c r="A19" s="22" t="n">
        <x:v>16</x:v>
      </x:c>
      <x:c r="B19" s="22" t="str">
        <x:v>G016</x:v>
      </x:c>
      <x:c r="C19" s="22" t="str">
        <x:v>MV-KIT-001</x:v>
      </x:c>
      <x:c r="D19" s="22" t="str">
        <x:v>US</x:v>
      </x:c>
      <x:c r="E19" s="22" t="str">
        <x:v>en-US</x:v>
      </x:c>
      <x:c r="F19" s="22" t="str">
        <x:v>product_listing</x:v>
      </x:c>
      <x:c r="G19" s="22" t="str">
        <x:v>G016-A</x:v>
      </x:c>
      <x:c r="H19" s="22" t="str">
        <x:v>G016-B</x:v>
      </x:c>
      <x:c r="I19" s="59" t="n">
        <x:f>IF(OR('Blind Review'!$Y$34="Reviewed",'Blind Review'!$Y$34="Failure"),'Blind Review'!$X$34,"")</x:f>
        <x:v>4.285714285714286</x:v>
      </x:c>
      <x:c r="J19" s="59" t="n">
        <x:f>IF(OR('Blind Review'!$Y$35="Reviewed",'Blind Review'!$Y$35="Failure"),'Blind Review'!$X$35,"")</x:f>
        <x:v>2.142857142857143</x:v>
      </x:c>
      <x:c r="K19" s="59" t="n">
        <x:f>IF(COUNT(I19:J19)=2,I19-J19,"")</x:f>
        <x:v>2.142857142857143</x:v>
      </x:c>
      <x:c r="L19" s="53" t="str">
        <x:f>IF(OR('Blind Review'!$Y$34="Reviewed",'Blind Review'!$Y$34="Failure"),'Blind Review'!$I$34,"")</x:f>
        <x:v>Pass</x:v>
      </x:c>
      <x:c r="M19" s="53" t="str">
        <x:f>IF(OR('Blind Review'!$Y$35="Reviewed",'Blind Review'!$Y$35="Failure"),'Blind Review'!$I$35,"")</x:f>
        <x:v>Fail</x:v>
      </x:c>
      <x:c r="N19" s="53" t="n">
        <x:f>IF(OR('Blind Review'!$Y$34="Reviewed",'Blind Review'!$Y$34="Failure"),'Blind Review'!$Q$34,"")</x:f>
        <x:v>1</x:v>
      </x:c>
      <x:c r="O19" s="53" t="n">
        <x:f>IF(OR('Blind Review'!$Y$35="Reviewed",'Blind Review'!$Y$35="Failure"),'Blind Review'!$Q$35,"")</x:f>
        <x:v>5</x:v>
      </x:c>
      <x:c r="P19" s="53" t="n">
        <x:f>IF(OR('Blind Review'!$Y$34="Reviewed",'Blind Review'!$Y$34="Failure"),'Blind Review'!$R$34,"")</x:f>
        <x:v>5</x:v>
      </x:c>
      <x:c r="Q19" s="53" t="n">
        <x:f>IF(OR('Blind Review'!$Y$35="Reviewed",'Blind Review'!$Y$35="Failure"),'Blind Review'!$R$35,"")</x:f>
        <x:v>8</x:v>
      </x:c>
      <x:c r="R19" s="53" t="str">
        <x:f>IF(AND(OR('Blind Review'!$Y$34="Reviewed",'Blind Review'!$Y$34="Failure"),OR('Blind Review'!$Y$35="Reviewed",'Blind Review'!$Y$35="Failure")),"Complete","Pending")</x:f>
        <x:v>Complete</x:v>
      </x:c>
    </x:row>
    <x:row r="20" ht="30" customHeight="1">
      <x:c r="A20" s="22" t="n">
        <x:v>17</x:v>
      </x:c>
      <x:c r="B20" s="22" t="str">
        <x:v>G017</x:v>
      </x:c>
      <x:c r="C20" s="22" t="str">
        <x:v>MV-CREAM-001</x:v>
      </x:c>
      <x:c r="D20" s="22" t="str">
        <x:v>US</x:v>
      </x:c>
      <x:c r="E20" s="22" t="str">
        <x:v>en-US</x:v>
      </x:c>
      <x:c r="F20" s="22" t="str">
        <x:v>product_listing</x:v>
      </x:c>
      <x:c r="G20" s="22" t="str">
        <x:v>G017-A</x:v>
      </x:c>
      <x:c r="H20" s="22" t="str">
        <x:v>G017-B</x:v>
      </x:c>
      <x:c r="I20" s="59" t="n">
        <x:f>IF(OR('Blind Review'!$Y$36="Reviewed",'Blind Review'!$Y$36="Failure"),'Blind Review'!$X$36,"")</x:f>
        <x:v>2.857142857142857</x:v>
      </x:c>
      <x:c r="J20" s="59" t="n">
        <x:f>IF(OR('Blind Review'!$Y$37="Reviewed",'Blind Review'!$Y$37="Failure"),'Blind Review'!$X$37,"")</x:f>
        <x:v>4</x:v>
      </x:c>
      <x:c r="K20" s="59" t="n">
        <x:f>IF(COUNT(I20:J20)=2,I20-J20,"")</x:f>
        <x:v>-1.1428571428571428</x:v>
      </x:c>
      <x:c r="L20" s="53" t="str">
        <x:f>IF(OR('Blind Review'!$Y$36="Reviewed",'Blind Review'!$Y$36="Failure"),'Blind Review'!$I$36,"")</x:f>
        <x:v>Fail</x:v>
      </x:c>
      <x:c r="M20" s="53" t="str">
        <x:f>IF(OR('Blind Review'!$Y$37="Reviewed",'Blind Review'!$Y$37="Failure"),'Blind Review'!$I$37,"")</x:f>
        <x:v>Fail</x:v>
      </x:c>
      <x:c r="N20" s="53" t="n">
        <x:f>IF(OR('Blind Review'!$Y$36="Reviewed",'Blind Review'!$Y$36="Failure"),'Blind Review'!$Q$36,"")</x:f>
        <x:v>4</x:v>
      </x:c>
      <x:c r="O20" s="53" t="n">
        <x:f>IF(OR('Blind Review'!$Y$37="Reviewed",'Blind Review'!$Y$37="Failure"),'Blind Review'!$Q$37,"")</x:f>
        <x:v>2</x:v>
      </x:c>
      <x:c r="P20" s="53" t="n">
        <x:f>IF(OR('Blind Review'!$Y$36="Reviewed",'Blind Review'!$Y$36="Failure"),'Blind Review'!$R$36,"")</x:f>
        <x:v>7</x:v>
      </x:c>
      <x:c r="Q20" s="53" t="n">
        <x:f>IF(OR('Blind Review'!$Y$37="Reviewed",'Blind Review'!$Y$37="Failure"),'Blind Review'!$R$37,"")</x:f>
        <x:v>6</x:v>
      </x:c>
      <x:c r="R20" s="53" t="str">
        <x:f>IF(AND(OR('Blind Review'!$Y$36="Reviewed",'Blind Review'!$Y$36="Failure"),OR('Blind Review'!$Y$37="Reviewed",'Blind Review'!$Y$37="Failure")),"Complete","Pending")</x:f>
        <x:v>Complete</x:v>
      </x:c>
    </x:row>
    <x:row r="21" ht="30" customHeight="1">
      <x:c r="A21" s="22" t="n">
        <x:v>18</x:v>
      </x:c>
      <x:c r="B21" s="22" t="str">
        <x:v>G018</x:v>
      </x:c>
      <x:c r="C21" s="22" t="str">
        <x:v>MV-SERUM-001</x:v>
      </x:c>
      <x:c r="D21" s="22" t="str">
        <x:v>US</x:v>
      </x:c>
      <x:c r="E21" s="22" t="str">
        <x:v>en-US</x:v>
      </x:c>
      <x:c r="F21" s="22" t="str">
        <x:v>product_listing</x:v>
      </x:c>
      <x:c r="G21" s="22" t="str">
        <x:v>G018-A</x:v>
      </x:c>
      <x:c r="H21" s="22" t="str">
        <x:v>G018-B</x:v>
      </x:c>
      <x:c r="I21" s="59" t="n">
        <x:f>IF(OR('Blind Review'!$Y$38="Reviewed",'Blind Review'!$Y$38="Failure"),'Blind Review'!$X$38,"")</x:f>
        <x:v>2.857142857142857</x:v>
      </x:c>
      <x:c r="J21" s="59" t="n">
        <x:f>IF(OR('Blind Review'!$Y$39="Reviewed",'Blind Review'!$Y$39="Failure"),'Blind Review'!$X$39,"")</x:f>
        <x:v>3.857142857142857</x:v>
      </x:c>
      <x:c r="K21" s="59" t="n">
        <x:f>IF(COUNT(I21:J21)=2,I21-J21,"")</x:f>
        <x:v>-1</x:v>
      </x:c>
      <x:c r="L21" s="53" t="str">
        <x:f>IF(OR('Blind Review'!$Y$38="Reviewed",'Blind Review'!$Y$38="Failure"),'Blind Review'!$I$38,"")</x:f>
        <x:v>Fail</x:v>
      </x:c>
      <x:c r="M21" s="53" t="str">
        <x:f>IF(OR('Blind Review'!$Y$39="Reviewed",'Blind Review'!$Y$39="Failure"),'Blind Review'!$I$39,"")</x:f>
        <x:v>Fail</x:v>
      </x:c>
      <x:c r="N21" s="53" t="n">
        <x:f>IF(OR('Blind Review'!$Y$38="Reviewed",'Blind Review'!$Y$38="Failure"),'Blind Review'!$Q$38,"")</x:f>
        <x:v>4</x:v>
      </x:c>
      <x:c r="O21" s="53" t="n">
        <x:f>IF(OR('Blind Review'!$Y$39="Reviewed",'Blind Review'!$Y$39="Failure"),'Blind Review'!$Q$39,"")</x:f>
        <x:v>3</x:v>
      </x:c>
      <x:c r="P21" s="53" t="n">
        <x:f>IF(OR('Blind Review'!$Y$38="Reviewed",'Blind Review'!$Y$38="Failure"),'Blind Review'!$R$38,"")</x:f>
        <x:v>7</x:v>
      </x:c>
      <x:c r="Q21" s="53" t="n">
        <x:f>IF(OR('Blind Review'!$Y$39="Reviewed",'Blind Review'!$Y$39="Failure"),'Blind Review'!$R$39,"")</x:f>
        <x:v>6</x:v>
      </x:c>
      <x:c r="R21" s="53" t="str">
        <x:f>IF(AND(OR('Blind Review'!$Y$38="Reviewed",'Blind Review'!$Y$38="Failure"),OR('Blind Review'!$Y$39="Reviewed",'Blind Review'!$Y$39="Failure")),"Complete","Pending")</x:f>
        <x:v>Complete</x:v>
      </x:c>
    </x:row>
    <x:row r="22" ht="30" customHeight="1">
      <x:c r="A22" s="22" t="n">
        <x:v>19</x:v>
      </x:c>
      <x:c r="B22" s="22" t="str">
        <x:v>G019</x:v>
      </x:c>
      <x:c r="C22" s="22" t="str">
        <x:v>MV-HAND-001</x:v>
      </x:c>
      <x:c r="D22" s="22" t="str">
        <x:v>US</x:v>
      </x:c>
      <x:c r="E22" s="22" t="str">
        <x:v>en-US</x:v>
      </x:c>
      <x:c r="F22" s="22" t="str">
        <x:v>social_ad_copy</x:v>
      </x:c>
      <x:c r="G22" s="22" t="str">
        <x:v>G019-A</x:v>
      </x:c>
      <x:c r="H22" s="22" t="str">
        <x:v>G019-B</x:v>
      </x:c>
      <x:c r="I22" s="59" t="n">
        <x:f>IF(OR('Blind Review'!$Y$40="Reviewed",'Blind Review'!$Y$40="Failure"),'Blind Review'!$X$40,"")</x:f>
        <x:v>4.285714285714286</x:v>
      </x:c>
      <x:c r="J22" s="59" t="n">
        <x:f>IF(OR('Blind Review'!$Y$41="Reviewed",'Blind Review'!$Y$41="Failure"),'Blind Review'!$X$41,"")</x:f>
        <x:v>2.5714285714285716</x:v>
      </x:c>
      <x:c r="K22" s="59" t="n">
        <x:f>IF(COUNT(I22:J22)=2,I22-J22,"")</x:f>
        <x:v>1.714285714285714</x:v>
      </x:c>
      <x:c r="L22" s="53" t="str">
        <x:f>IF(OR('Blind Review'!$Y$40="Reviewed",'Blind Review'!$Y$40="Failure"),'Blind Review'!$I$40,"")</x:f>
        <x:v>Pass</x:v>
      </x:c>
      <x:c r="M22" s="53" t="str">
        <x:f>IF(OR('Blind Review'!$Y$41="Reviewed",'Blind Review'!$Y$41="Failure"),'Blind Review'!$I$41,"")</x:f>
        <x:v>Fail</x:v>
      </x:c>
      <x:c r="N22" s="53" t="n">
        <x:f>IF(OR('Blind Review'!$Y$40="Reviewed",'Blind Review'!$Y$40="Failure"),'Blind Review'!$Q$40,"")</x:f>
        <x:v>1</x:v>
      </x:c>
      <x:c r="O22" s="53" t="n">
        <x:f>IF(OR('Blind Review'!$Y$41="Reviewed",'Blind Review'!$Y$41="Failure"),'Blind Review'!$Q$41,"")</x:f>
        <x:v>4</x:v>
      </x:c>
      <x:c r="P22" s="53" t="n">
        <x:f>IF(OR('Blind Review'!$Y$40="Reviewed",'Blind Review'!$Y$40="Failure"),'Blind Review'!$R$40,"")</x:f>
        <x:v>4</x:v>
      </x:c>
      <x:c r="Q22" s="53" t="n">
        <x:f>IF(OR('Blind Review'!$Y$41="Reviewed",'Blind Review'!$Y$41="Failure"),'Blind Review'!$R$41,"")</x:f>
        <x:v>7</x:v>
      </x:c>
      <x:c r="R22" s="53" t="str">
        <x:f>IF(AND(OR('Blind Review'!$Y$40="Reviewed",'Blind Review'!$Y$40="Failure"),OR('Blind Review'!$Y$41="Reviewed",'Blind Review'!$Y$41="Failure")),"Complete","Pending")</x:f>
        <x:v>Complete</x:v>
      </x:c>
    </x:row>
    <x:row r="23" ht="30" customHeight="1">
      <x:c r="A23" s="22" t="n">
        <x:v>20</x:v>
      </x:c>
      <x:c r="B23" s="22" t="str">
        <x:v>G020</x:v>
      </x:c>
      <x:c r="C23" s="22" t="str">
        <x:v>MV-CLEAN-001</x:v>
      </x:c>
      <x:c r="D23" s="22" t="str">
        <x:v>MX</x:v>
      </x:c>
      <x:c r="E23" s="22" t="str">
        <x:v>es-MX</x:v>
      </x:c>
      <x:c r="F23" s="22" t="str">
        <x:v>product_listing</x:v>
      </x:c>
      <x:c r="G23" s="22" t="str">
        <x:v>G020-A</x:v>
      </x:c>
      <x:c r="H23" s="22" t="str">
        <x:v>G020-B</x:v>
      </x:c>
      <x:c r="I23" s="59" t="n">
        <x:f>IF(OR('Blind Review'!$Y$42="Reviewed",'Blind Review'!$Y$42="Failure"),'Blind Review'!$X$42,"")</x:f>
        <x:v>2.857142857142857</x:v>
      </x:c>
      <x:c r="J23" s="59" t="n">
        <x:f>IF(OR('Blind Review'!$Y$43="Reviewed",'Blind Review'!$Y$43="Failure"),'Blind Review'!$X$43,"")</x:f>
        <x:v>4.142857142857143</x:v>
      </x:c>
      <x:c r="K23" s="59" t="n">
        <x:f>IF(COUNT(I23:J23)=2,I23-J23,"")</x:f>
        <x:v>-1.285714285714286</x:v>
      </x:c>
      <x:c r="L23" s="53" t="str">
        <x:f>IF(OR('Blind Review'!$Y$42="Reviewed",'Blind Review'!$Y$42="Failure"),'Blind Review'!$I$42,"")</x:f>
        <x:v>Fail</x:v>
      </x:c>
      <x:c r="M23" s="53" t="str">
        <x:f>IF(OR('Blind Review'!$Y$43="Reviewed",'Blind Review'!$Y$43="Failure"),'Blind Review'!$I$43,"")</x:f>
        <x:v>Fail</x:v>
      </x:c>
      <x:c r="N23" s="53" t="n">
        <x:f>IF(OR('Blind Review'!$Y$42="Reviewed",'Blind Review'!$Y$42="Failure"),'Blind Review'!$Q$42,"")</x:f>
        <x:v>4</x:v>
      </x:c>
      <x:c r="O23" s="53" t="n">
        <x:f>IF(OR('Blind Review'!$Y$43="Reviewed",'Blind Review'!$Y$43="Failure"),'Blind Review'!$Q$43,"")</x:f>
        <x:v>2</x:v>
      </x:c>
      <x:c r="P23" s="53" t="n">
        <x:f>IF(OR('Blind Review'!$Y$42="Reviewed",'Blind Review'!$Y$42="Failure"),'Blind Review'!$R$42,"")</x:f>
        <x:v>7</x:v>
      </x:c>
      <x:c r="Q23" s="53" t="n">
        <x:f>IF(OR('Blind Review'!$Y$43="Reviewed",'Blind Review'!$Y$43="Failure"),'Blind Review'!$R$43,"")</x:f>
        <x:v>6</x:v>
      </x:c>
      <x:c r="R23" s="53" t="str">
        <x:f>IF(AND(OR('Blind Review'!$Y$42="Reviewed",'Blind Review'!$Y$42="Failure"),OR('Blind Review'!$Y$43="Reviewed",'Blind Review'!$Y$43="Failure")),"Complete","Pending")</x:f>
        <x:v>Complete</x:v>
      </x:c>
    </x:row>
    <x:row r="24" ht="30" customHeight="1">
      <x:c r="A24" s="22" t="n">
        <x:v>21</x:v>
      </x:c>
      <x:c r="B24" s="22" t="str">
        <x:v>G021</x:v>
      </x:c>
      <x:c r="C24" s="22" t="str">
        <x:v>MV-CLEAN-001</x:v>
      </x:c>
      <x:c r="D24" s="22" t="str">
        <x:v>US</x:v>
      </x:c>
      <x:c r="E24" s="22" t="str">
        <x:v>en-US</x:v>
      </x:c>
      <x:c r="F24" s="22" t="str">
        <x:v>product_listing</x:v>
      </x:c>
      <x:c r="G24" s="22" t="str">
        <x:v>G021-A</x:v>
      </x:c>
      <x:c r="H24" s="22" t="str">
        <x:v>G021-B</x:v>
      </x:c>
      <x:c r="I24" s="59" t="n">
        <x:f>IF(OR('Blind Review'!$Y$44="Reviewed",'Blind Review'!$Y$44="Failure"),'Blind Review'!$X$44,"")</x:f>
        <x:v>2.857142857142857</x:v>
      </x:c>
      <x:c r="J24" s="59" t="n">
        <x:f>IF(OR('Blind Review'!$Y$45="Reviewed",'Blind Review'!$Y$45="Failure"),'Blind Review'!$X$45,"")</x:f>
        <x:v>4</x:v>
      </x:c>
      <x:c r="K24" s="59" t="n">
        <x:f>IF(COUNT(I24:J24)=2,I24-J24,"")</x:f>
        <x:v>-1.1428571428571428</x:v>
      </x:c>
      <x:c r="L24" s="53" t="str">
        <x:f>IF(OR('Blind Review'!$Y$44="Reviewed",'Blind Review'!$Y$44="Failure"),'Blind Review'!$I$44,"")</x:f>
        <x:v>Fail</x:v>
      </x:c>
      <x:c r="M24" s="53" t="str">
        <x:f>IF(OR('Blind Review'!$Y$45="Reviewed",'Blind Review'!$Y$45="Failure"),'Blind Review'!$I$45,"")</x:f>
        <x:v>Fail</x:v>
      </x:c>
      <x:c r="N24" s="53" t="n">
        <x:f>IF(OR('Blind Review'!$Y$44="Reviewed",'Blind Review'!$Y$44="Failure"),'Blind Review'!$Q$44,"")</x:f>
        <x:v>4</x:v>
      </x:c>
      <x:c r="O24" s="53" t="n">
        <x:f>IF(OR('Blind Review'!$Y$45="Reviewed",'Blind Review'!$Y$45="Failure"),'Blind Review'!$Q$45,"")</x:f>
        <x:v>2</x:v>
      </x:c>
      <x:c r="P24" s="53" t="n">
        <x:f>IF(OR('Blind Review'!$Y$44="Reviewed",'Blind Review'!$Y$44="Failure"),'Blind Review'!$R$44,"")</x:f>
        <x:v>7</x:v>
      </x:c>
      <x:c r="Q24" s="53" t="n">
        <x:f>IF(OR('Blind Review'!$Y$45="Reviewed",'Blind Review'!$Y$45="Failure"),'Blind Review'!$R$45,"")</x:f>
        <x:v>6</x:v>
      </x:c>
      <x:c r="R24" s="53" t="str">
        <x:f>IF(AND(OR('Blind Review'!$Y$44="Reviewed",'Blind Review'!$Y$44="Failure"),OR('Blind Review'!$Y$45="Reviewed",'Blind Review'!$Y$45="Failure")),"Complete","Pending")</x:f>
        <x:v>Complete</x:v>
      </x:c>
    </x:row>
    <x:row r="25" ht="30" customHeight="1">
      <x:c r="A25" s="22" t="n">
        <x:v>22</x:v>
      </x:c>
      <x:c r="B25" s="22" t="str">
        <x:v>G022</x:v>
      </x:c>
      <x:c r="C25" s="22" t="str">
        <x:v>MV-SERUM-001</x:v>
      </x:c>
      <x:c r="D25" s="22" t="str">
        <x:v>MX</x:v>
      </x:c>
      <x:c r="E25" s="22" t="str">
        <x:v>es-MX</x:v>
      </x:c>
      <x:c r="F25" s="22" t="str">
        <x:v>product_listing</x:v>
      </x:c>
      <x:c r="G25" s="22" t="str">
        <x:v>G022-A</x:v>
      </x:c>
      <x:c r="H25" s="22" t="str">
        <x:v>G022-B</x:v>
      </x:c>
      <x:c r="I25" s="59" t="n">
        <x:f>IF(OR('Blind Review'!$Y$46="Reviewed",'Blind Review'!$Y$46="Failure"),'Blind Review'!$X$46,"")</x:f>
        <x:v>2.7142857142857144</x:v>
      </x:c>
      <x:c r="J25" s="59" t="n">
        <x:f>IF(OR('Blind Review'!$Y$47="Reviewed",'Blind Review'!$Y$47="Failure"),'Blind Review'!$X$47,"")</x:f>
        <x:v>4.142857142857143</x:v>
      </x:c>
      <x:c r="K25" s="59" t="n">
        <x:f>IF(COUNT(I25:J25)=2,I25-J25,"")</x:f>
        <x:v>-1.4285714285714288</x:v>
      </x:c>
      <x:c r="L25" s="53" t="str">
        <x:f>IF(OR('Blind Review'!$Y$46="Reviewed",'Blind Review'!$Y$46="Failure"),'Blind Review'!$I$46,"")</x:f>
        <x:v>Fail</x:v>
      </x:c>
      <x:c r="M25" s="53" t="str">
        <x:f>IF(OR('Blind Review'!$Y$47="Reviewed",'Blind Review'!$Y$47="Failure"),'Blind Review'!$I$47,"")</x:f>
        <x:v>Fail</x:v>
      </x:c>
      <x:c r="N25" s="53" t="n">
        <x:f>IF(OR('Blind Review'!$Y$46="Reviewed",'Blind Review'!$Y$46="Failure"),'Blind Review'!$Q$46,"")</x:f>
        <x:v>4</x:v>
      </x:c>
      <x:c r="O25" s="53" t="n">
        <x:f>IF(OR('Blind Review'!$Y$47="Reviewed",'Blind Review'!$Y$47="Failure"),'Blind Review'!$Q$47,"")</x:f>
        <x:v>2</x:v>
      </x:c>
      <x:c r="P25" s="53" t="n">
        <x:f>IF(OR('Blind Review'!$Y$46="Reviewed",'Blind Review'!$Y$46="Failure"),'Blind Review'!$R$46,"")</x:f>
        <x:v>7</x:v>
      </x:c>
      <x:c r="Q25" s="53" t="n">
        <x:f>IF(OR('Blind Review'!$Y$47="Reviewed",'Blind Review'!$Y$47="Failure"),'Blind Review'!$R$47,"")</x:f>
        <x:v>6</x:v>
      </x:c>
      <x:c r="R25" s="53" t="str">
        <x:f>IF(AND(OR('Blind Review'!$Y$46="Reviewed",'Blind Review'!$Y$46="Failure"),OR('Blind Review'!$Y$47="Reviewed",'Blind Review'!$Y$47="Failure")),"Complete","Pending")</x:f>
        <x:v>Complete</x:v>
      </x:c>
    </x:row>
    <x:row r="26" ht="30" customHeight="1">
      <x:c r="A26" s="22" t="n">
        <x:v>23</x:v>
      </x:c>
      <x:c r="B26" s="22" t="str">
        <x:v>G023</x:v>
      </x:c>
      <x:c r="C26" s="22" t="str">
        <x:v>MV-SERUM-001</x:v>
      </x:c>
      <x:c r="D26" s="22" t="str">
        <x:v>US</x:v>
      </x:c>
      <x:c r="E26" s="22" t="str">
        <x:v>en-US</x:v>
      </x:c>
      <x:c r="F26" s="22" t="str">
        <x:v>social_ad_copy</x:v>
      </x:c>
      <x:c r="G26" s="22" t="str">
        <x:v>G023-A</x:v>
      </x:c>
      <x:c r="H26" s="22" t="str">
        <x:v>G023-B</x:v>
      </x:c>
      <x:c r="I26" s="59" t="n">
        <x:f>IF(OR('Blind Review'!$Y$48="Reviewed",'Blind Review'!$Y$48="Failure"),'Blind Review'!$X$48,"")</x:f>
        <x:v>3.2857142857142856</x:v>
      </x:c>
      <x:c r="J26" s="59" t="n">
        <x:f>IF(OR('Blind Review'!$Y$49="Reviewed",'Blind Review'!$Y$49="Failure"),'Blind Review'!$X$49,"")</x:f>
        <x:v>4.285714285714286</x:v>
      </x:c>
      <x:c r="K26" s="59" t="n">
        <x:f>IF(COUNT(I26:J26)=2,I26-J26,"")</x:f>
        <x:v>-1</x:v>
      </x:c>
      <x:c r="L26" s="53" t="str">
        <x:f>IF(OR('Blind Review'!$Y$48="Reviewed",'Blind Review'!$Y$48="Failure"),'Blind Review'!$I$48,"")</x:f>
        <x:v>Pass</x:v>
      </x:c>
      <x:c r="M26" s="53" t="str">
        <x:f>IF(OR('Blind Review'!$Y$49="Reviewed",'Blind Review'!$Y$49="Failure"),'Blind Review'!$I$49,"")</x:f>
        <x:v>Pass</x:v>
      </x:c>
      <x:c r="N26" s="53" t="n">
        <x:f>IF(OR('Blind Review'!$Y$48="Reviewed",'Blind Review'!$Y$48="Failure"),'Blind Review'!$Q$48,"")</x:f>
        <x:v>3</x:v>
      </x:c>
      <x:c r="O26" s="53" t="n">
        <x:f>IF(OR('Blind Review'!$Y$49="Reviewed",'Blind Review'!$Y$49="Failure"),'Blind Review'!$Q$49,"")</x:f>
        <x:v>1</x:v>
      </x:c>
      <x:c r="P26" s="53" t="n">
        <x:f>IF(OR('Blind Review'!$Y$48="Reviewed",'Blind Review'!$Y$48="Failure"),'Blind Review'!$R$48,"")</x:f>
        <x:v>5</x:v>
      </x:c>
      <x:c r="Q26" s="53" t="n">
        <x:f>IF(OR('Blind Review'!$Y$49="Reviewed",'Blind Review'!$Y$49="Failure"),'Blind Review'!$R$49,"")</x:f>
        <x:v>4</x:v>
      </x:c>
      <x:c r="R26" s="53" t="str">
        <x:f>IF(AND(OR('Blind Review'!$Y$48="Reviewed",'Blind Review'!$Y$48="Failure"),OR('Blind Review'!$Y$49="Reviewed",'Blind Review'!$Y$49="Failure")),"Complete","Pending")</x:f>
        <x:v>Complete</x:v>
      </x:c>
    </x:row>
    <x:row r="27" ht="30" customHeight="1">
      <x:c r="A27" s="22" t="n">
        <x:v>24</x:v>
      </x:c>
      <x:c r="B27" s="22" t="str">
        <x:v>G024</x:v>
      </x:c>
      <x:c r="C27" s="22" t="str">
        <x:v>MV-CREAM-001</x:v>
      </x:c>
      <x:c r="D27" s="22" t="str">
        <x:v>US</x:v>
      </x:c>
      <x:c r="E27" s="22" t="str">
        <x:v>en-US</x:v>
      </x:c>
      <x:c r="F27" s="22" t="str">
        <x:v>social_ad_copy</x:v>
      </x:c>
      <x:c r="G27" s="22" t="str">
        <x:v>G024-A</x:v>
      </x:c>
      <x:c r="H27" s="22" t="str">
        <x:v>G024-B</x:v>
      </x:c>
      <x:c r="I27" s="59" t="n">
        <x:f>IF(OR('Blind Review'!$Y$50="Reviewed",'Blind Review'!$Y$50="Failure"),'Blind Review'!$X$50,"")</x:f>
        <x:v>3.2857142857142856</x:v>
      </x:c>
      <x:c r="J27" s="59" t="n">
        <x:f>IF(OR('Blind Review'!$Y$51="Reviewed",'Blind Review'!$Y$51="Failure"),'Blind Review'!$X$51,"")</x:f>
        <x:v>4.285714285714286</x:v>
      </x:c>
      <x:c r="K27" s="59" t="n">
        <x:f>IF(COUNT(I27:J27)=2,I27-J27,"")</x:f>
        <x:v>-1</x:v>
      </x:c>
      <x:c r="L27" s="53" t="str">
        <x:f>IF(OR('Blind Review'!$Y$50="Reviewed",'Blind Review'!$Y$50="Failure"),'Blind Review'!$I$50,"")</x:f>
        <x:v>Pass</x:v>
      </x:c>
      <x:c r="M27" s="53" t="str">
        <x:f>IF(OR('Blind Review'!$Y$51="Reviewed",'Blind Review'!$Y$51="Failure"),'Blind Review'!$I$51,"")</x:f>
        <x:v>Pass</x:v>
      </x:c>
      <x:c r="N27" s="53" t="n">
        <x:f>IF(OR('Blind Review'!$Y$50="Reviewed",'Blind Review'!$Y$50="Failure"),'Blind Review'!$Q$50,"")</x:f>
        <x:v>3</x:v>
      </x:c>
      <x:c r="O27" s="53" t="n">
        <x:f>IF(OR('Blind Review'!$Y$51="Reviewed",'Blind Review'!$Y$51="Failure"),'Blind Review'!$Q$51,"")</x:f>
        <x:v>1</x:v>
      </x:c>
      <x:c r="P27" s="53" t="n">
        <x:f>IF(OR('Blind Review'!$Y$50="Reviewed",'Blind Review'!$Y$50="Failure"),'Blind Review'!$R$50,"")</x:f>
        <x:v>5</x:v>
      </x:c>
      <x:c r="Q27" s="53" t="n">
        <x:f>IF(OR('Blind Review'!$Y$51="Reviewed",'Blind Review'!$Y$51="Failure"),'Blind Review'!$R$51,"")</x:f>
        <x:v>4</x:v>
      </x:c>
      <x:c r="R27" s="53" t="str">
        <x:f>IF(AND(OR('Blind Review'!$Y$50="Reviewed",'Blind Review'!$Y$50="Failure"),OR('Blind Review'!$Y$51="Reviewed",'Blind Review'!$Y$51="Failure")),"Complete","Pending")</x:f>
        <x:v>Complete</x:v>
      </x:c>
    </x:row>
    <x:row r="28" ht="30" customHeight="1">
      <x:c r="A28" s="22" t="n">
        <x:v>25</x:v>
      </x:c>
      <x:c r="B28" s="22" t="str">
        <x:v>G025</x:v>
      </x:c>
      <x:c r="C28" s="22" t="str">
        <x:v>MV-HAND-001</x:v>
      </x:c>
      <x:c r="D28" s="22" t="str">
        <x:v>MX</x:v>
      </x:c>
      <x:c r="E28" s="22" t="str">
        <x:v>es-MX</x:v>
      </x:c>
      <x:c r="F28" s="22" t="str">
        <x:v>social_ad_copy</x:v>
      </x:c>
      <x:c r="G28" s="22" t="str">
        <x:v>G025-A</x:v>
      </x:c>
      <x:c r="H28" s="22" t="str">
        <x:v>G025-B</x:v>
      </x:c>
      <x:c r="I28" s="59" t="n">
        <x:f>IF(OR('Blind Review'!$Y$52="Reviewed",'Blind Review'!$Y$52="Failure"),'Blind Review'!$X$52,"")</x:f>
        <x:v>2.5714285714285716</x:v>
      </x:c>
      <x:c r="J28" s="59" t="n">
        <x:f>IF(OR('Blind Review'!$Y$53="Reviewed",'Blind Review'!$Y$53="Failure"),'Blind Review'!$X$53,"")</x:f>
        <x:v>4.428571428571429</x:v>
      </x:c>
      <x:c r="K28" s="59" t="n">
        <x:f>IF(COUNT(I28:J28)=2,I28-J28,"")</x:f>
        <x:v>-1.8571428571428572</x:v>
      </x:c>
      <x:c r="L28" s="53" t="str">
        <x:f>IF(OR('Blind Review'!$Y$52="Reviewed",'Blind Review'!$Y$52="Failure"),'Blind Review'!$I$52,"")</x:f>
        <x:v>Fail</x:v>
      </x:c>
      <x:c r="M28" s="53" t="str">
        <x:f>IF(OR('Blind Review'!$Y$53="Reviewed",'Blind Review'!$Y$53="Failure"),'Blind Review'!$I$53,"")</x:f>
        <x:v>Pass</x:v>
      </x:c>
      <x:c r="N28" s="53" t="n">
        <x:f>IF(OR('Blind Review'!$Y$52="Reviewed",'Blind Review'!$Y$52="Failure"),'Blind Review'!$Q$52,"")</x:f>
        <x:v>4</x:v>
      </x:c>
      <x:c r="O28" s="53" t="n">
        <x:f>IF(OR('Blind Review'!$Y$53="Reviewed",'Blind Review'!$Y$53="Failure"),'Blind Review'!$Q$53,"")</x:f>
        <x:v>1</x:v>
      </x:c>
      <x:c r="P28" s="53" t="n">
        <x:f>IF(OR('Blind Review'!$Y$52="Reviewed",'Blind Review'!$Y$52="Failure"),'Blind Review'!$R$52,"")</x:f>
        <x:v>7</x:v>
      </x:c>
      <x:c r="Q28" s="53" t="n">
        <x:f>IF(OR('Blind Review'!$Y$53="Reviewed",'Blind Review'!$Y$53="Failure"),'Blind Review'!$R$53,"")</x:f>
        <x:v>4</x:v>
      </x:c>
      <x:c r="R28" s="53" t="str">
        <x:f>IF(AND(OR('Blind Review'!$Y$52="Reviewed",'Blind Review'!$Y$52="Failure"),OR('Blind Review'!$Y$53="Reviewed",'Blind Review'!$Y$53="Failure")),"Complete","Pending")</x:f>
        <x:v>Complete</x:v>
      </x:c>
    </x:row>
    <x:row r="29" ht="30" customHeight="1">
      <x:c r="A29" s="22" t="n">
        <x:v>26</x:v>
      </x:c>
      <x:c r="B29" s="22" t="str">
        <x:v>G026</x:v>
      </x:c>
      <x:c r="C29" s="22" t="str">
        <x:v>MV-CLEAN-001</x:v>
      </x:c>
      <x:c r="D29" s="22" t="str">
        <x:v>US</x:v>
      </x:c>
      <x:c r="E29" s="22" t="str">
        <x:v>en-US</x:v>
      </x:c>
      <x:c r="F29" s="22" t="str">
        <x:v>social_ad_copy</x:v>
      </x:c>
      <x:c r="G29" s="22" t="str">
        <x:v>G026-A</x:v>
      </x:c>
      <x:c r="H29" s="22" t="str">
        <x:v>G026-B</x:v>
      </x:c>
      <x:c r="I29" s="59" t="n">
        <x:f>IF(OR('Blind Review'!$Y$54="Reviewed",'Blind Review'!$Y$54="Failure"),'Blind Review'!$X$54,"")</x:f>
        <x:v>4.285714285714286</x:v>
      </x:c>
      <x:c r="J29" s="59" t="n">
        <x:f>IF(OR('Blind Review'!$Y$55="Reviewed",'Blind Review'!$Y$55="Failure"),'Blind Review'!$X$55,"")</x:f>
        <x:v>3.2857142857142856</x:v>
      </x:c>
      <x:c r="K29" s="59" t="n">
        <x:f>IF(COUNT(I29:J29)=2,I29-J29,"")</x:f>
        <x:v>1</x:v>
      </x:c>
      <x:c r="L29" s="53" t="str">
        <x:f>IF(OR('Blind Review'!$Y$54="Reviewed",'Blind Review'!$Y$54="Failure"),'Blind Review'!$I$54,"")</x:f>
        <x:v>Pass</x:v>
      </x:c>
      <x:c r="M29" s="53" t="str">
        <x:f>IF(OR('Blind Review'!$Y$55="Reviewed",'Blind Review'!$Y$55="Failure"),'Blind Review'!$I$55,"")</x:f>
        <x:v>Pass</x:v>
      </x:c>
      <x:c r="N29" s="53" t="n">
        <x:f>IF(OR('Blind Review'!$Y$54="Reviewed",'Blind Review'!$Y$54="Failure"),'Blind Review'!$Q$54,"")</x:f>
        <x:v>1</x:v>
      </x:c>
      <x:c r="O29" s="53" t="n">
        <x:f>IF(OR('Blind Review'!$Y$55="Reviewed",'Blind Review'!$Y$55="Failure"),'Blind Review'!$Q$55,"")</x:f>
        <x:v>3</x:v>
      </x:c>
      <x:c r="P29" s="53" t="n">
        <x:f>IF(OR('Blind Review'!$Y$54="Reviewed",'Blind Review'!$Y$54="Failure"),'Blind Review'!$R$54,"")</x:f>
        <x:v>4</x:v>
      </x:c>
      <x:c r="Q29" s="53" t="n">
        <x:f>IF(OR('Blind Review'!$Y$55="Reviewed",'Blind Review'!$Y$55="Failure"),'Blind Review'!$R$55,"")</x:f>
        <x:v>5</x:v>
      </x:c>
      <x:c r="R29" s="53" t="str">
        <x:f>IF(AND(OR('Blind Review'!$Y$54="Reviewed",'Blind Review'!$Y$54="Failure"),OR('Blind Review'!$Y$55="Reviewed",'Blind Review'!$Y$55="Failure")),"Complete","Pending")</x:f>
        <x:v>Complete</x:v>
      </x:c>
    </x:row>
    <x:row r="30" ht="30" customHeight="1">
      <x:c r="A30" s="22" t="n">
        <x:v>27</x:v>
      </x:c>
      <x:c r="B30" s="22" t="str">
        <x:v>G027</x:v>
      </x:c>
      <x:c r="C30" s="22" t="str">
        <x:v>MV-HAND-001</x:v>
      </x:c>
      <x:c r="D30" s="22" t="str">
        <x:v>MX</x:v>
      </x:c>
      <x:c r="E30" s="22" t="str">
        <x:v>es-MX</x:v>
      </x:c>
      <x:c r="F30" s="22" t="str">
        <x:v>product_listing</x:v>
      </x:c>
      <x:c r="G30" s="22" t="str">
        <x:v>G027-A</x:v>
      </x:c>
      <x:c r="H30" s="22" t="str">
        <x:v>G027-B</x:v>
      </x:c>
      <x:c r="I30" s="59" t="n">
        <x:f>IF(OR('Blind Review'!$Y$56="Reviewed",'Blind Review'!$Y$56="Failure"),'Blind Review'!$X$56,"")</x:f>
        <x:v>4.142857142857143</x:v>
      </x:c>
      <x:c r="J30" s="59" t="n">
        <x:f>IF(OR('Blind Review'!$Y$57="Reviewed",'Blind Review'!$Y$57="Failure"),'Blind Review'!$X$57,"")</x:f>
        <x:v>1.8571428571428572</x:v>
      </x:c>
      <x:c r="K30" s="59" t="n">
        <x:f>IF(COUNT(I30:J30)=2,I30-J30,"")</x:f>
        <x:v>2.285714285714286</x:v>
      </x:c>
      <x:c r="L30" s="53" t="str">
        <x:f>IF(OR('Blind Review'!$Y$56="Reviewed",'Blind Review'!$Y$56="Failure"),'Blind Review'!$I$56,"")</x:f>
        <x:v>Fail</x:v>
      </x:c>
      <x:c r="M30" s="53" t="str">
        <x:f>IF(OR('Blind Review'!$Y$57="Reviewed",'Blind Review'!$Y$57="Failure"),'Blind Review'!$I$57,"")</x:f>
        <x:v>Fail</x:v>
      </x:c>
      <x:c r="N30" s="53" t="n">
        <x:f>IF(OR('Blind Review'!$Y$56="Reviewed",'Blind Review'!$Y$56="Failure"),'Blind Review'!$Q$56,"")</x:f>
        <x:v>2</x:v>
      </x:c>
      <x:c r="O30" s="53" t="n">
        <x:f>IF(OR('Blind Review'!$Y$57="Reviewed",'Blind Review'!$Y$57="Failure"),'Blind Review'!$Q$57,"")</x:f>
        <x:v>5</x:v>
      </x:c>
      <x:c r="P30" s="53" t="n">
        <x:f>IF(OR('Blind Review'!$Y$56="Reviewed",'Blind Review'!$Y$56="Failure"),'Blind Review'!$R$56,"")</x:f>
        <x:v>6</x:v>
      </x:c>
      <x:c r="Q30" s="53" t="n">
        <x:f>IF(OR('Blind Review'!$Y$57="Reviewed",'Blind Review'!$Y$57="Failure"),'Blind Review'!$R$57,"")</x:f>
        <x:v>8</x:v>
      </x:c>
      <x:c r="R30" s="53" t="str">
        <x:f>IF(AND(OR('Blind Review'!$Y$56="Reviewed",'Blind Review'!$Y$56="Failure"),OR('Blind Review'!$Y$57="Reviewed",'Blind Review'!$Y$57="Failure")),"Complete","Pending")</x:f>
        <x:v>Complete</x:v>
      </x:c>
    </x:row>
    <x:row r="31" ht="30" customHeight="1">
      <x:c r="A31" s="22" t="n">
        <x:v>28</x:v>
      </x:c>
      <x:c r="B31" s="22" t="str">
        <x:v>G028</x:v>
      </x:c>
      <x:c r="C31" s="22" t="str">
        <x:v>MV-SERUM-001</x:v>
      </x:c>
      <x:c r="D31" s="22" t="str">
        <x:v>MX</x:v>
      </x:c>
      <x:c r="E31" s="22" t="str">
        <x:v>es-MX</x:v>
      </x:c>
      <x:c r="F31" s="22" t="str">
        <x:v>short_video_script</x:v>
      </x:c>
      <x:c r="G31" s="22" t="str">
        <x:v>G028-A</x:v>
      </x:c>
      <x:c r="H31" s="22" t="str">
        <x:v>G028-B</x:v>
      </x:c>
      <x:c r="I31" s="59" t="n">
        <x:f>IF(OR('Blind Review'!$Y$58="Reviewed",'Blind Review'!$Y$58="Failure"),'Blind Review'!$X$58,"")</x:f>
        <x:v>4.428571428571429</x:v>
      </x:c>
      <x:c r="J31" s="59" t="n">
        <x:f>IF(OR('Blind Review'!$Y$59="Reviewed",'Blind Review'!$Y$59="Failure"),'Blind Review'!$X$59,"")</x:f>
        <x:v>3</x:v>
      </x:c>
      <x:c r="K31" s="59" t="n">
        <x:f>IF(COUNT(I31:J31)=2,I31-J31,"")</x:f>
        <x:v>1.4285714285714288</x:v>
      </x:c>
      <x:c r="L31" s="53" t="str">
        <x:f>IF(OR('Blind Review'!$Y$58="Reviewed",'Blind Review'!$Y$58="Failure"),'Blind Review'!$I$58,"")</x:f>
        <x:v>Pass</x:v>
      </x:c>
      <x:c r="M31" s="53" t="str">
        <x:f>IF(OR('Blind Review'!$Y$59="Reviewed",'Blind Review'!$Y$59="Failure"),'Blind Review'!$I$59,"")</x:f>
        <x:v>Pass</x:v>
      </x:c>
      <x:c r="N31" s="53" t="n">
        <x:f>IF(OR('Blind Review'!$Y$58="Reviewed",'Blind Review'!$Y$58="Failure"),'Blind Review'!$Q$58,"")</x:f>
        <x:v>1</x:v>
      </x:c>
      <x:c r="O31" s="53" t="n">
        <x:f>IF(OR('Blind Review'!$Y$59="Reviewed",'Blind Review'!$Y$59="Failure"),'Blind Review'!$Q$59,"")</x:f>
        <x:v>3</x:v>
      </x:c>
      <x:c r="P31" s="53" t="n">
        <x:f>IF(OR('Blind Review'!$Y$58="Reviewed",'Blind Review'!$Y$58="Failure"),'Blind Review'!$R$58,"")</x:f>
        <x:v>4</x:v>
      </x:c>
      <x:c r="Q31" s="53" t="n">
        <x:f>IF(OR('Blind Review'!$Y$59="Reviewed",'Blind Review'!$Y$59="Failure"),'Blind Review'!$R$59,"")</x:f>
        <x:v>6</x:v>
      </x:c>
      <x:c r="R31" s="53" t="str">
        <x:f>IF(AND(OR('Blind Review'!$Y$58="Reviewed",'Blind Review'!$Y$58="Failure"),OR('Blind Review'!$Y$59="Reviewed",'Blind Review'!$Y$59="Failure")),"Complete","Pending")</x:f>
        <x:v>Complete</x:v>
      </x:c>
    </x:row>
    <x:row r="32" ht="30" customHeight="1">
      <x:c r="A32" s="22" t="n">
        <x:v>29</x:v>
      </x:c>
      <x:c r="B32" s="22" t="str">
        <x:v>G029</x:v>
      </x:c>
      <x:c r="C32" s="22" t="str">
        <x:v>MV-CREAM-001</x:v>
      </x:c>
      <x:c r="D32" s="22" t="str">
        <x:v>MX</x:v>
      </x:c>
      <x:c r="E32" s="22" t="str">
        <x:v>es-MX</x:v>
      </x:c>
      <x:c r="F32" s="22" t="str">
        <x:v>product_listing</x:v>
      </x:c>
      <x:c r="G32" s="22" t="str">
        <x:v>G029-A</x:v>
      </x:c>
      <x:c r="H32" s="22" t="str">
        <x:v>G029-B</x:v>
      </x:c>
      <x:c r="I32" s="59" t="n">
        <x:f>IF(OR('Blind Review'!$Y$60="Reviewed",'Blind Review'!$Y$60="Failure"),'Blind Review'!$X$60,"")</x:f>
        <x:v>2.7142857142857144</x:v>
      </x:c>
      <x:c r="J32" s="59" t="n">
        <x:f>IF(OR('Blind Review'!$Y$61="Reviewed",'Blind Review'!$Y$61="Failure"),'Blind Review'!$X$61,"")</x:f>
        <x:v>4.142857142857143</x:v>
      </x:c>
      <x:c r="K32" s="59" t="n">
        <x:f>IF(COUNT(I32:J32)=2,I32-J32,"")</x:f>
        <x:v>-1.4285714285714288</x:v>
      </x:c>
      <x:c r="L32" s="53" t="str">
        <x:f>IF(OR('Blind Review'!$Y$60="Reviewed",'Blind Review'!$Y$60="Failure"),'Blind Review'!$I$60,"")</x:f>
        <x:v>Fail</x:v>
      </x:c>
      <x:c r="M32" s="53" t="str">
        <x:f>IF(OR('Blind Review'!$Y$61="Reviewed",'Blind Review'!$Y$61="Failure"),'Blind Review'!$I$61,"")</x:f>
        <x:v>Fail</x:v>
      </x:c>
      <x:c r="N32" s="53" t="n">
        <x:f>IF(OR('Blind Review'!$Y$60="Reviewed",'Blind Review'!$Y$60="Failure"),'Blind Review'!$Q$60,"")</x:f>
        <x:v>4</x:v>
      </x:c>
      <x:c r="O32" s="53" t="n">
        <x:f>IF(OR('Blind Review'!$Y$61="Reviewed",'Blind Review'!$Y$61="Failure"),'Blind Review'!$Q$61,"")</x:f>
        <x:v>2</x:v>
      </x:c>
      <x:c r="P32" s="53" t="n">
        <x:f>IF(OR('Blind Review'!$Y$60="Reviewed",'Blind Review'!$Y$60="Failure"),'Blind Review'!$R$60,"")</x:f>
        <x:v>7</x:v>
      </x:c>
      <x:c r="Q32" s="53" t="n">
        <x:f>IF(OR('Blind Review'!$Y$61="Reviewed",'Blind Review'!$Y$61="Failure"),'Blind Review'!$R$61,"")</x:f>
        <x:v>6</x:v>
      </x:c>
      <x:c r="R32" s="53" t="str">
        <x:f>IF(AND(OR('Blind Review'!$Y$60="Reviewed",'Blind Review'!$Y$60="Failure"),OR('Blind Review'!$Y$61="Reviewed",'Blind Review'!$Y$61="Failure")),"Complete","Pending")</x:f>
        <x:v>Complete</x:v>
      </x:c>
    </x:row>
    <x:row r="33" ht="30" customHeight="1">
      <x:c r="A33" s="22" t="n">
        <x:v>30</x:v>
      </x:c>
      <x:c r="B33" s="22" t="str">
        <x:v>G030</x:v>
      </x:c>
      <x:c r="C33" s="22" t="str">
        <x:v>MV-KIT-001</x:v>
      </x:c>
      <x:c r="D33" s="22" t="str">
        <x:v>MX</x:v>
      </x:c>
      <x:c r="E33" s="22" t="str">
        <x:v>es-MX</x:v>
      </x:c>
      <x:c r="F33" s="22" t="str">
        <x:v>social_ad_copy</x:v>
      </x:c>
      <x:c r="G33" s="22" t="str">
        <x:v>G030-A</x:v>
      </x:c>
      <x:c r="H33" s="22" t="str">
        <x:v>G030-B</x:v>
      </x:c>
      <x:c r="I33" s="59" t="n">
        <x:f>IF(OR('Blind Review'!$Y$62="Reviewed",'Blind Review'!$Y$62="Failure"),'Blind Review'!$X$62,"")</x:f>
        <x:v>2.5714285714285716</x:v>
      </x:c>
      <x:c r="J33" s="59" t="n">
        <x:f>IF(OR('Blind Review'!$Y$63="Reviewed",'Blind Review'!$Y$63="Failure"),'Blind Review'!$X$63,"")</x:f>
        <x:v>4.285714285714286</x:v>
      </x:c>
      <x:c r="K33" s="59" t="n">
        <x:f>IF(COUNT(I33:J33)=2,I33-J33,"")</x:f>
        <x:v>-1.714285714285714</x:v>
      </x:c>
      <x:c r="L33" s="53" t="str">
        <x:f>IF(OR('Blind Review'!$Y$62="Reviewed",'Blind Review'!$Y$62="Failure"),'Blind Review'!$I$62,"")</x:f>
        <x:v>Fail</x:v>
      </x:c>
      <x:c r="M33" s="53" t="str">
        <x:f>IF(OR('Blind Review'!$Y$63="Reviewed",'Blind Review'!$Y$63="Failure"),'Blind Review'!$I$63,"")</x:f>
        <x:v>Pass</x:v>
      </x:c>
      <x:c r="N33" s="53" t="n">
        <x:f>IF(OR('Blind Review'!$Y$62="Reviewed",'Blind Review'!$Y$62="Failure"),'Blind Review'!$Q$62,"")</x:f>
        <x:v>4</x:v>
      </x:c>
      <x:c r="O33" s="53" t="n">
        <x:f>IF(OR('Blind Review'!$Y$63="Reviewed",'Blind Review'!$Y$63="Failure"),'Blind Review'!$Q$63,"")</x:f>
        <x:v>1</x:v>
      </x:c>
      <x:c r="P33" s="53" t="n">
        <x:f>IF(OR('Blind Review'!$Y$62="Reviewed",'Blind Review'!$Y$62="Failure"),'Blind Review'!$R$62,"")</x:f>
        <x:v>7</x:v>
      </x:c>
      <x:c r="Q33" s="53" t="n">
        <x:f>IF(OR('Blind Review'!$Y$63="Reviewed",'Blind Review'!$Y$63="Failure"),'Blind Review'!$R$63,"")</x:f>
        <x:v>4</x:v>
      </x:c>
      <x:c r="R33" s="53" t="str">
        <x:f>IF(AND(OR('Blind Review'!$Y$62="Reviewed",'Blind Review'!$Y$62="Failure"),OR('Blind Review'!$Y$63="Reviewed",'Blind Review'!$Y$63="Failure")),"Complete","Pending")</x:f>
        <x:v>Complete</x:v>
      </x:c>
    </x:row>
  </x:sheetData>
  <x:mergeCells>
    <x:mergeCell ref="A1:R1"/>
    <x:mergeCell ref="A2:R2"/>
  </x:mergeCells>
  <x:conditionalFormatting sqref="R4:R33">
    <x:cfRule type="containsText" dxfId="5" priority="1" operator="containsText" text="Complete"/>
  </x:conditionalFormatting>
  <x:pageMargins left="0.7" right="0.7" top="0.75" bottom="0.75" header="0.3" footer="0.3"/>
  <x:tableParts count="1">
    <x:tablePart xmlns:r="http://schemas.openxmlformats.org/officeDocument/2006/relationships" r:id="R0dd6fea7952140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18" hidden="0" customWidth="1"/>
    <x:col min="4" max="4" width="11" hidden="0" customWidth="1"/>
    <x:col min="5" max="5" width="22" hidden="0" customWidth="1"/>
    <x:col min="6" max="6" width="11" hidden="0" customWidth="1"/>
    <x:col min="7" max="7" width="14" hidden="0" customWidth="1"/>
    <x:col min="8" max="8" width="12" hidden="0" customWidth="1"/>
    <x:col min="9" max="9" width="13" hidden="0" customWidth="1"/>
    <x:col min="10" max="10" width="15" hidden="0" customWidth="1"/>
    <x:col min="11" max="11" width="14" hidden="0" customWidth="1"/>
    <x:col min="12" max="12" width="13" hidden="0" customWidth="1"/>
    <x:col min="13" max="13" width="26" hidden="0" customWidth="1"/>
    <x:col min="14" max="14" width="44" hidden="0" customWidth="1"/>
  </x:cols>
  <x:sheetData>
    <x:row r="1" ht="34" customHeight="1">
      <x:c r="A1" s="3" t="str">
        <x:v>Failure Log｜Populates from Actual Human Scores</x:v>
      </x:c>
      <x:c r="B1" s="3"/>
      <x:c r="C1" s="3"/>
      <x:c r="D1" s="3"/>
      <x:c r="E1" s="3"/>
      <x:c r="F1" s="3"/>
      <x:c r="G1" s="3"/>
      <x:c r="H1" s="3"/>
      <x:c r="I1" s="3"/>
      <x:c r="J1" s="3"/>
      <x:c r="K1" s="3"/>
      <x:c r="L1" s="3"/>
      <x:c r="M1" s="3"/>
      <x:c r="N1" s="3"/>
    </x:row>
    <x:row r="2">
      <x:c r="A2" s="6" t="str">
        <x:v>完成评分后筛选 Failure Flag=Failure。最终报告至少选择 5 个案例，并结合人工评论说明失败原因与修改。</x:v>
      </x:c>
      <x:c r="B2" s="6"/>
      <x:c r="C2" s="6"/>
      <x:c r="D2" s="6"/>
      <x:c r="E2" s="6"/>
      <x:c r="F2" s="6"/>
      <x:c r="G2" s="6"/>
      <x:c r="H2" s="6"/>
      <x:c r="I2" s="6"/>
      <x:c r="J2" s="6"/>
      <x:c r="K2" s="6"/>
      <x:c r="L2" s="6"/>
      <x:c r="M2" s="6"/>
      <x:c r="N2" s="6"/>
    </x:row>
    <x:row r="3">
      <x:c r="A3" s="16" t="str">
        <x:v>Candidate ID</x:v>
      </x:c>
      <x:c r="B3" s="45" t="str">
        <x:v>Group ID</x:v>
      </x:c>
      <x:c r="C3" s="45" t="str">
        <x:v>SKU</x:v>
      </x:c>
      <x:c r="D3" s="45" t="str">
        <x:v>Language</x:v>
      </x:c>
      <x:c r="E3" s="45" t="str">
        <x:v>Content Type</x:v>
      </x:c>
      <x:c r="F3" s="45" t="str">
        <x:v>Candidate</x:v>
      </x:c>
      <x:c r="G3" s="45" t="str">
        <x:v>Fact Accuracy</x:v>
      </x:c>
      <x:c r="H3" s="45" t="str">
        <x:v>Mean Score</x:v>
      </x:c>
      <x:c r="I3" s="45" t="str">
        <x:v>Publishability</x:v>
      </x:c>
      <x:c r="J3" s="45" t="str">
        <x:v>Modification Count</x:v>
      </x:c>
      <x:c r="K3" s="45" t="str">
        <x:v>Review Minutes</x:v>
      </x:c>
      <x:c r="L3" s="45" t="str">
        <x:v>Failure Flag</x:v>
      </x:c>
      <x:c r="M3" s="45" t="str">
        <x:v>Failure Tags</x:v>
      </x:c>
      <x:c r="N3" s="17" t="str">
        <x:v>Reviewer Comments</x:v>
      </x:c>
    </x:row>
    <x:row r="4" ht="42" customHeight="1">
      <x:c r="A4" s="53" t="str">
        <x:f>'Blind Review'!$B$4</x:f>
        <x:v>G001-A</x:v>
      </x:c>
      <x:c r="B4" s="53" t="str">
        <x:f>'Blind Review'!$C$4</x:f>
        <x:v>G001</x:v>
      </x:c>
      <x:c r="C4" s="53" t="str">
        <x:f>'Blind Review'!$D$4</x:f>
        <x:v>MV-CREAM-001</x:v>
      </x:c>
      <x:c r="D4" s="53" t="str">
        <x:f>'Blind Review'!$E$4</x:f>
        <x:v>en-US</x:v>
      </x:c>
      <x:c r="E4" s="53" t="str">
        <x:f>'Blind Review'!$F$4</x:f>
        <x:v>short_video_script</x:v>
      </x:c>
      <x:c r="F4" s="53" t="str">
        <x:f>'Blind Review'!$G$4</x:f>
        <x:v>A</x:v>
      </x:c>
      <x:c r="G4" s="53" t="str">
        <x:f>IF(OR('Blind Review'!$Y$4="Reviewed",'Blind Review'!$Y$4="Failure"),'Blind Review'!$I$4,"")</x:f>
        <x:v>Pass</x:v>
      </x:c>
      <x:c r="H4" s="59" t="n">
        <x:f>IF(OR('Blind Review'!$Y$4="Reviewed",'Blind Review'!$Y$4="Failure"),'Blind Review'!$X$4,"")</x:f>
        <x:v>3.142857142857143</x:v>
      </x:c>
      <x:c r="I4" s="53" t="n">
        <x:f>IF(OR('Blind Review'!$Y$4="Reviewed",'Blind Review'!$Y$4="Failure"),'Blind Review'!$P$4,"")</x:f>
        <x:v>3</x:v>
      </x:c>
      <x:c r="J4" s="53" t="n">
        <x:f>IF(OR('Blind Review'!$Y$4="Reviewed",'Blind Review'!$Y$4="Failure"),'Blind Review'!$Q$4,"")</x:f>
        <x:v>3</x:v>
      </x:c>
      <x:c r="K4" s="53" t="n">
        <x:f>IF(OR('Blind Review'!$Y$4="Reviewed",'Blind Review'!$Y$4="Failure"),'Blind Review'!$R$4,"")</x:f>
        <x:v>5</x:v>
      </x:c>
      <x:c r="L4" s="53" t="str">
        <x:f>'Blind Review'!$Y$4</x:f>
        <x:v>Reviewed</x:v>
      </x:c>
      <x:c r="M4" s="53" t="str">
        <x:f>IF('Blind Review'!$W$4&lt;&gt;"",'Blind Review'!$W$4,"")</x:f>
        <x:v>None</x:v>
      </x:c>
      <x:c r="N4" s="53" t="str">
        <x:f>IF('Blind Review'!$V$4&lt;&gt;"",'Blind Review'!$V$4,"")</x:f>
        <x:v>事实与15秒结构基本合格，但措辞偏泛且略生硬；建议强化差异化成分卖点并补充AIGC标识。</x:v>
      </x:c>
    </x:row>
    <x:row r="5" ht="42" customHeight="1">
      <x:c r="A5" s="53" t="str">
        <x:f>'Blind Review'!$B$5</x:f>
        <x:v>G001-B</x:v>
      </x:c>
      <x:c r="B5" s="53" t="str">
        <x:f>'Blind Review'!$C$5</x:f>
        <x:v>G001</x:v>
      </x:c>
      <x:c r="C5" s="53" t="str">
        <x:f>'Blind Review'!$D$5</x:f>
        <x:v>MV-CREAM-001</x:v>
      </x:c>
      <x:c r="D5" s="53" t="str">
        <x:f>'Blind Review'!$E$5</x:f>
        <x:v>en-US</x:v>
      </x:c>
      <x:c r="E5" s="53" t="str">
        <x:f>'Blind Review'!$F$5</x:f>
        <x:v>short_video_script</x:v>
      </x:c>
      <x:c r="F5" s="53" t="str">
        <x:f>'Blind Review'!$G$5</x:f>
        <x:v>B</x:v>
      </x:c>
      <x:c r="G5" s="53" t="str">
        <x:f>IF(OR('Blind Review'!$Y$5="Reviewed",'Blind Review'!$Y$5="Failure"),'Blind Review'!$I$5,"")</x:f>
        <x:v>Pass</x:v>
      </x:c>
      <x:c r="H5" s="59" t="n">
        <x:f>IF(OR('Blind Review'!$Y$5="Reviewed",'Blind Review'!$Y$5="Failure"),'Blind Review'!$X$5,"")</x:f>
        <x:v>4.285714285714286</x:v>
      </x:c>
      <x:c r="I5" s="53" t="n">
        <x:f>IF(OR('Blind Review'!$Y$5="Reviewed",'Blind Review'!$Y$5="Failure"),'Blind Review'!$P$5,"")</x:f>
        <x:v>4</x:v>
      </x:c>
      <x:c r="J5" s="53" t="n">
        <x:f>IF(OR('Blind Review'!$Y$5="Reviewed",'Blind Review'!$Y$5="Failure"),'Blind Review'!$Q$5,"")</x:f>
        <x:v>1</x:v>
      </x:c>
      <x:c r="K5" s="53" t="n">
        <x:f>IF(OR('Blind Review'!$Y$5="Reviewed",'Blind Review'!$Y$5="Failure"),'Blind Review'!$R$5,"")</x:f>
        <x:v>4</x:v>
      </x:c>
      <x:c r="L5" s="53" t="str">
        <x:f>'Blind Review'!$Y$5</x:f>
        <x:v>Reviewed</x:v>
      </x:c>
      <x:c r="M5" s="53" t="str">
        <x:f>IF('Blind Review'!$W$5&lt;&gt;"",'Blind Review'!$W$5,"")</x:f>
        <x:v>None</x:v>
      </x:c>
      <x:c r="N5" s="53" t="str">
        <x:f>IF('Blind Review'!$V$5&lt;&gt;"",'Blind Review'!$V$5,"")</x:f>
        <x:v>卖点、用法与CTA衔接清楚，语言自然且品牌语气克制；发布前补充AIGC标识即可。</x:v>
      </x:c>
    </x:row>
    <x:row r="6" ht="42" customHeight="1">
      <x:c r="A6" s="53" t="str">
        <x:f>'Blind Review'!$B$6</x:f>
        <x:v>G002-A</x:v>
      </x:c>
      <x:c r="B6" s="53" t="str">
        <x:f>'Blind Review'!$C$6</x:f>
        <x:v>G002</x:v>
      </x:c>
      <x:c r="C6" s="53" t="str">
        <x:f>'Blind Review'!$D$6</x:f>
        <x:v>MV-KIT-001</x:v>
      </x:c>
      <x:c r="D6" s="53" t="str">
        <x:f>'Blind Review'!$E$6</x:f>
        <x:v>en-US</x:v>
      </x:c>
      <x:c r="E6" s="53" t="str">
        <x:f>'Blind Review'!$F$6</x:f>
        <x:v>social_ad_copy</x:v>
      </x:c>
      <x:c r="F6" s="53" t="str">
        <x:f>'Blind Review'!$G$6</x:f>
        <x:v>A</x:v>
      </x:c>
      <x:c r="G6" s="53" t="str">
        <x:f>IF(OR('Blind Review'!$Y$6="Reviewed",'Blind Review'!$Y$6="Failure"),'Blind Review'!$I$6,"")</x:f>
        <x:v>Fail</x:v>
      </x:c>
      <x:c r="H6" s="59" t="n">
        <x:f>IF(OR('Blind Review'!$Y$6="Reviewed",'Blind Review'!$Y$6="Failure"),'Blind Review'!$X$6,"")</x:f>
        <x:v>2.7142857142857144</x:v>
      </x:c>
      <x:c r="I6" s="53" t="n">
        <x:f>IF(OR('Blind Review'!$Y$6="Reviewed",'Blind Review'!$Y$6="Failure"),'Blind Review'!$P$6,"")</x:f>
        <x:v>2</x:v>
      </x:c>
      <x:c r="J6" s="53" t="n">
        <x:f>IF(OR('Blind Review'!$Y$6="Reviewed",'Blind Review'!$Y$6="Failure"),'Blind Review'!$Q$6,"")</x:f>
        <x:v>3</x:v>
      </x:c>
      <x:c r="K6" s="53" t="n">
        <x:f>IF(OR('Blind Review'!$Y$6="Reviewed",'Blind Review'!$Y$6="Failure"),'Blind Review'!$R$6,"")</x:f>
        <x:v>6</x:v>
      </x:c>
      <x:c r="L6" s="53" t="str">
        <x:f>'Blind Review'!$Y$6</x:f>
        <x:v>Failure</x:v>
      </x:c>
      <x:c r="M6" s="53" t="str">
        <x:f>IF('Blind Review'!$W$6&lt;&gt;"",'Blind Review'!$W$6,"")</x:f>
        <x:v>Prohibited claim; Brand risk</x:v>
      </x:c>
      <x:c r="N6" s="53" t="str">
        <x:f>IF('Blind Review'!$V$6&lt;&gt;"",'Blind Review'!$V$6,"")</x:f>
        <x:v>“Covers all of your skincare needs”属于明确越界的全能功效表述；需改写Hook并补齐平台与AI使用信息。</x:v>
      </x:c>
    </x:row>
    <x:row r="7" ht="42" customHeight="1">
      <x:c r="A7" s="53" t="str">
        <x:f>'Blind Review'!$B$7</x:f>
        <x:v>G002-B</x:v>
      </x:c>
      <x:c r="B7" s="53" t="str">
        <x:f>'Blind Review'!$C$7</x:f>
        <x:v>G002</x:v>
      </x:c>
      <x:c r="C7" s="53" t="str">
        <x:f>'Blind Review'!$D$7</x:f>
        <x:v>MV-KIT-001</x:v>
      </x:c>
      <x:c r="D7" s="53" t="str">
        <x:f>'Blind Review'!$E$7</x:f>
        <x:v>en-US</x:v>
      </x:c>
      <x:c r="E7" s="53" t="str">
        <x:f>'Blind Review'!$F$7</x:f>
        <x:v>social_ad_copy</x:v>
      </x:c>
      <x:c r="F7" s="53" t="str">
        <x:f>'Blind Review'!$G$7</x:f>
        <x:v>B</x:v>
      </x:c>
      <x:c r="G7" s="53" t="str">
        <x:f>IF(OR('Blind Review'!$Y$7="Reviewed",'Blind Review'!$Y$7="Failure"),'Blind Review'!$I$7,"")</x:f>
        <x:v>Pass</x:v>
      </x:c>
      <x:c r="H7" s="59" t="n">
        <x:f>IF(OR('Blind Review'!$Y$7="Reviewed",'Blind Review'!$Y$7="Failure"),'Blind Review'!$X$7,"")</x:f>
        <x:v>4.142857142857143</x:v>
      </x:c>
      <x:c r="I7" s="53" t="n">
        <x:f>IF(OR('Blind Review'!$Y$7="Reviewed",'Blind Review'!$Y$7="Failure"),'Blind Review'!$P$7,"")</x:f>
        <x:v>4</x:v>
      </x:c>
      <x:c r="J7" s="53" t="n">
        <x:f>IF(OR('Blind Review'!$Y$7="Reviewed",'Blind Review'!$Y$7="Failure"),'Blind Review'!$Q$7,"")</x:f>
        <x:v>1</x:v>
      </x:c>
      <x:c r="K7" s="53" t="n">
        <x:f>IF(OR('Blind Review'!$Y$7="Reviewed",'Blind Review'!$Y$7="Failure"),'Blind Review'!$R$7,"")</x:f>
        <x:v>4</x:v>
      </x:c>
      <x:c r="L7" s="53" t="str">
        <x:f>'Blind Review'!$Y$7</x:f>
        <x:v>Reviewed</x:v>
      </x:c>
      <x:c r="M7" s="53" t="str">
        <x:f>IF('Blind Review'!$W$7&lt;&gt;"",'Blind Review'!$W$7,"")</x:f>
        <x:v>None</x:v>
      </x:c>
      <x:c r="N7" s="53" t="str">
        <x:f>IF('Blind Review'!$V$7&lt;&gt;"",'Blind Review'!$V$7,"")</x:f>
        <x:v>三步旅行场景明确，表述可信且CTA适度；可补充容量信息和AI使用状态。</x:v>
      </x:c>
    </x:row>
    <x:row r="8" ht="42" customHeight="1">
      <x:c r="A8" s="53" t="str">
        <x:f>'Blind Review'!$B$8</x:f>
        <x:v>G003-A</x:v>
      </x:c>
      <x:c r="B8" s="53" t="str">
        <x:f>'Blind Review'!$C$8</x:f>
        <x:v>G003</x:v>
      </x:c>
      <x:c r="C8" s="53" t="str">
        <x:f>'Blind Review'!$D$8</x:f>
        <x:v>MV-HAND-001</x:v>
      </x:c>
      <x:c r="D8" s="53" t="str">
        <x:f>'Blind Review'!$E$8</x:f>
        <x:v>es-MX</x:v>
      </x:c>
      <x:c r="E8" s="53" t="str">
        <x:f>'Blind Review'!$F$8</x:f>
        <x:v>short_video_script</x:v>
      </x:c>
      <x:c r="F8" s="53" t="str">
        <x:f>'Blind Review'!$G$8</x:f>
        <x:v>A</x:v>
      </x:c>
      <x:c r="G8" s="53" t="str">
        <x:f>IF(OR('Blind Review'!$Y$8="Reviewed",'Blind Review'!$Y$8="Failure"),'Blind Review'!$I$8,"")</x:f>
        <x:v>Fail</x:v>
      </x:c>
      <x:c r="H8" s="59" t="n">
        <x:f>IF(OR('Blind Review'!$Y$8="Reviewed",'Blind Review'!$Y$8="Failure"),'Blind Review'!$X$8,"")</x:f>
        <x:v>2.142857142857143</x:v>
      </x:c>
      <x:c r="I8" s="53" t="n">
        <x:f>IF(OR('Blind Review'!$Y$8="Reviewed",'Blind Review'!$Y$8="Failure"),'Blind Review'!$P$8,"")</x:f>
        <x:v>2</x:v>
      </x:c>
      <x:c r="J8" s="53" t="n">
        <x:f>IF(OR('Blind Review'!$Y$8="Reviewed",'Blind Review'!$Y$8="Failure"),'Blind Review'!$Q$8,"")</x:f>
        <x:v>4</x:v>
      </x:c>
      <x:c r="K8" s="53" t="n">
        <x:f>IF(OR('Blind Review'!$Y$8="Reviewed",'Blind Review'!$Y$8="Failure"),'Blind Review'!$R$8,"")</x:f>
        <x:v>7</x:v>
      </x:c>
      <x:c r="L8" s="53" t="str">
        <x:f>'Blind Review'!$Y$8</x:f>
        <x:v>Failure</x:v>
      </x:c>
      <x:c r="M8" s="53" t="str">
        <x:f>IF('Blind Review'!$W$8&lt;&gt;"",'Blind Review'!$W$8,"")</x:f>
        <x:v>Prohibited claim; Language issue</x:v>
      </x:c>
      <x:c r="N8" s="53" t="str">
        <x:f>IF('Blind Review'!$V$8&lt;&gt;"",'Blind Review'!$V$8,"")</x:f>
        <x:v>“Repara las manos secas”超出允许的柔软、滋润感边界，且多处西语搭配生硬；需要重写功效与文案。</x:v>
      </x:c>
    </x:row>
    <x:row r="9" ht="42" customHeight="1">
      <x:c r="A9" s="53" t="str">
        <x:f>'Blind Review'!$B$9</x:f>
        <x:v>G003-B</x:v>
      </x:c>
      <x:c r="B9" s="53" t="str">
        <x:f>'Blind Review'!$C$9</x:f>
        <x:v>G003</x:v>
      </x:c>
      <x:c r="C9" s="53" t="str">
        <x:f>'Blind Review'!$D$9</x:f>
        <x:v>MV-HAND-001</x:v>
      </x:c>
      <x:c r="D9" s="53" t="str">
        <x:f>'Blind Review'!$E$9</x:f>
        <x:v>es-MX</x:v>
      </x:c>
      <x:c r="E9" s="53" t="str">
        <x:f>'Blind Review'!$F$9</x:f>
        <x:v>short_video_script</x:v>
      </x:c>
      <x:c r="F9" s="53" t="str">
        <x:f>'Blind Review'!$G$9</x:f>
        <x:v>B</x:v>
      </x:c>
      <x:c r="G9" s="53" t="str">
        <x:f>IF(OR('Blind Review'!$Y$9="Reviewed",'Blind Review'!$Y$9="Failure"),'Blind Review'!$I$9,"")</x:f>
        <x:v>Fail</x:v>
      </x:c>
      <x:c r="H9" s="59" t="n">
        <x:f>IF(OR('Blind Review'!$Y$9="Reviewed",'Blind Review'!$Y$9="Failure"),'Blind Review'!$X$9,"")</x:f>
        <x:v>3.7142857142857144</x:v>
      </x:c>
      <x:c r="I9" s="53" t="n">
        <x:f>IF(OR('Blind Review'!$Y$9="Reviewed",'Blind Review'!$Y$9="Failure"),'Blind Review'!$P$9,"")</x:f>
        <x:v>2</x:v>
      </x:c>
      <x:c r="J9" s="53" t="n">
        <x:f>IF(OR('Blind Review'!$Y$9="Reviewed",'Blind Review'!$Y$9="Failure"),'Blind Review'!$Q$9,"")</x:f>
        <x:v>2</x:v>
      </x:c>
      <x:c r="K9" s="53" t="n">
        <x:f>IF(OR('Blind Review'!$Y$9="Reviewed",'Blind Review'!$Y$9="Failure"),'Blind Review'!$R$9,"")</x:f>
        <x:v>5</x:v>
      </x:c>
      <x:c r="L9" s="53" t="str">
        <x:f>'Blind Review'!$Y$9</x:f>
        <x:v>Failure</x:v>
      </x:c>
      <x:c r="M9" s="53" t="str">
        <x:f>IF('Blind Review'!$W$9&lt;&gt;"",'Blind Review'!$W$9,"")</x:f>
        <x:v>Packaging mismatch</x:v>
      </x:c>
      <x:c r="N9" s="53" t="str">
        <x:f>IF('Blind Review'!$V$9&lt;&gt;"",'Blind Review'!$V$9,"")</x:f>
        <x:v>整体脚本自然完整，但“tubo de aluminio”与事实参考中的软管包装不一致；修正包装并补充AIGC标识。</x:v>
      </x:c>
    </x:row>
    <x:row r="10" ht="42" customHeight="1">
      <x:c r="A10" s="53" t="str">
        <x:f>'Blind Review'!$B$10</x:f>
        <x:v>G004-A</x:v>
      </x:c>
      <x:c r="B10" s="53" t="str">
        <x:f>'Blind Review'!$C$10</x:f>
        <x:v>G004</x:v>
      </x:c>
      <x:c r="C10" s="53" t="str">
        <x:f>'Blind Review'!$D$10</x:f>
        <x:v>MV-KIT-001</x:v>
      </x:c>
      <x:c r="D10" s="53" t="str">
        <x:f>'Blind Review'!$E$10</x:f>
        <x:v>es-MX</x:v>
      </x:c>
      <x:c r="E10" s="53" t="str">
        <x:f>'Blind Review'!$F$10</x:f>
        <x:v>short_video_script</x:v>
      </x:c>
      <x:c r="F10" s="53" t="str">
        <x:f>'Blind Review'!$G$10</x:f>
        <x:v>A</x:v>
      </x:c>
      <x:c r="G10" s="53" t="str">
        <x:f>IF(OR('Blind Review'!$Y$10="Reviewed",'Blind Review'!$Y$10="Failure"),'Blind Review'!$I$10,"")</x:f>
        <x:v>Pass</x:v>
      </x:c>
      <x:c r="H10" s="59" t="n">
        <x:f>IF(OR('Blind Review'!$Y$10="Reviewed",'Blind Review'!$Y$10="Failure"),'Blind Review'!$X$10,"")</x:f>
        <x:v>4.285714285714286</x:v>
      </x:c>
      <x:c r="I10" s="53" t="n">
        <x:f>IF(OR('Blind Review'!$Y$10="Reviewed",'Blind Review'!$Y$10="Failure"),'Blind Review'!$P$10,"")</x:f>
        <x:v>4</x:v>
      </x:c>
      <x:c r="J10" s="53" t="n">
        <x:f>IF(OR('Blind Review'!$Y$10="Reviewed",'Blind Review'!$Y$10="Failure"),'Blind Review'!$Q$10,"")</x:f>
        <x:v>1</x:v>
      </x:c>
      <x:c r="K10" s="53" t="n">
        <x:f>IF(OR('Blind Review'!$Y$10="Reviewed",'Blind Review'!$Y$10="Failure"),'Blind Review'!$R$10,"")</x:f>
        <x:v>4</x:v>
      </x:c>
      <x:c r="L10" s="53" t="str">
        <x:f>'Blind Review'!$Y$10</x:f>
        <x:v>Reviewed</x:v>
      </x:c>
      <x:c r="M10" s="53" t="str">
        <x:f>IF('Blind Review'!$W$10&lt;&gt;"",'Blind Review'!$W$10,"")</x:f>
        <x:v>None</x:v>
      </x:c>
      <x:c r="N10" s="53" t="str">
        <x:f>IF('Blind Review'!$V$10&lt;&gt;"",'Blind Review'!$V$10,"")</x:f>
        <x:v>旅行三步骤、产品组合和使用顺序表达清楚，西语流畅；仅需补充AIGC标识。</x:v>
      </x:c>
    </x:row>
    <x:row r="11" ht="42" customHeight="1">
      <x:c r="A11" s="53" t="str">
        <x:f>'Blind Review'!$B$11</x:f>
        <x:v>G004-B</x:v>
      </x:c>
      <x:c r="B11" s="53" t="str">
        <x:f>'Blind Review'!$C$11</x:f>
        <x:v>G004</x:v>
      </x:c>
      <x:c r="C11" s="53" t="str">
        <x:f>'Blind Review'!$D$11</x:f>
        <x:v>MV-KIT-001</x:v>
      </x:c>
      <x:c r="D11" s="53" t="str">
        <x:f>'Blind Review'!$E$11</x:f>
        <x:v>es-MX</x:v>
      </x:c>
      <x:c r="E11" s="53" t="str">
        <x:f>'Blind Review'!$F$11</x:f>
        <x:v>short_video_script</x:v>
      </x:c>
      <x:c r="F11" s="53" t="str">
        <x:f>'Blind Review'!$G$11</x:f>
        <x:v>B</x:v>
      </x:c>
      <x:c r="G11" s="53" t="str">
        <x:f>IF(OR('Blind Review'!$Y$11="Reviewed",'Blind Review'!$Y$11="Failure"),'Blind Review'!$I$11,"")</x:f>
        <x:v>Fail</x:v>
      </x:c>
      <x:c r="H11" s="59" t="n">
        <x:f>IF(OR('Blind Review'!$Y$11="Reviewed",'Blind Review'!$Y$11="Failure"),'Blind Review'!$X$11,"")</x:f>
        <x:v>2.142857142857143</x:v>
      </x:c>
      <x:c r="I11" s="53" t="n">
        <x:f>IF(OR('Blind Review'!$Y$11="Reviewed",'Blind Review'!$Y$11="Failure"),'Blind Review'!$P$11,"")</x:f>
        <x:v>2</x:v>
      </x:c>
      <x:c r="J11" s="53" t="n">
        <x:f>IF(OR('Blind Review'!$Y$11="Reviewed",'Blind Review'!$Y$11="Failure"),'Blind Review'!$Q$11,"")</x:f>
        <x:v>4</x:v>
      </x:c>
      <x:c r="K11" s="53" t="n">
        <x:f>IF(OR('Blind Review'!$Y$11="Reviewed",'Blind Review'!$Y$11="Failure"),'Blind Review'!$R$11,"")</x:f>
        <x:v>7</x:v>
      </x:c>
      <x:c r="L11" s="53" t="str">
        <x:f>'Blind Review'!$Y$11</x:f>
        <x:v>Failure</x:v>
      </x:c>
      <x:c r="M11" s="53" t="str">
        <x:f>IF('Blind Review'!$W$11&lt;&gt;"",'Blind Review'!$W$11,"")</x:f>
        <x:v>Prohibited claim; Localization issue</x:v>
      </x:c>
      <x:c r="N11" s="53" t="str">
        <x:f>IF('Blind Review'!$V$11&lt;&gt;"",'Blind Review'!$V$11,"")</x:f>
        <x:v>“Cubre todas tus necesidades”构成禁止的全能表述，且中英混排与措辞削弱墨西哥市场适配；需较大改写。</x:v>
      </x:c>
    </x:row>
    <x:row r="12" ht="42" customHeight="1">
      <x:c r="A12" s="53" t="str">
        <x:f>'Blind Review'!$B$12</x:f>
        <x:v>G005-A</x:v>
      </x:c>
      <x:c r="B12" s="53" t="str">
        <x:f>'Blind Review'!$C$12</x:f>
        <x:v>G005</x:v>
      </x:c>
      <x:c r="C12" s="53" t="str">
        <x:f>'Blind Review'!$D$12</x:f>
        <x:v>MV-CLEAN-001</x:v>
      </x:c>
      <x:c r="D12" s="53" t="str">
        <x:f>'Blind Review'!$E$12</x:f>
        <x:v>es-MX</x:v>
      </x:c>
      <x:c r="E12" s="53" t="str">
        <x:f>'Blind Review'!$F$12</x:f>
        <x:v>social_ad_copy</x:v>
      </x:c>
      <x:c r="F12" s="53" t="str">
        <x:f>'Blind Review'!$G$12</x:f>
        <x:v>A</x:v>
      </x:c>
      <x:c r="G12" s="53" t="str">
        <x:f>IF(OR('Blind Review'!$Y$12="Reviewed",'Blind Review'!$Y$12="Failure"),'Blind Review'!$I$12,"")</x:f>
        <x:v>Pass</x:v>
      </x:c>
      <x:c r="H12" s="59" t="n">
        <x:f>IF(OR('Blind Review'!$Y$12="Reviewed",'Blind Review'!$Y$12="Failure"),'Blind Review'!$X$12,"")</x:f>
        <x:v>3.857142857142857</x:v>
      </x:c>
      <x:c r="I12" s="53" t="n">
        <x:f>IF(OR('Blind Review'!$Y$12="Reviewed",'Blind Review'!$Y$12="Failure"),'Blind Review'!$P$12,"")</x:f>
        <x:v>4</x:v>
      </x:c>
      <x:c r="J12" s="53" t="n">
        <x:f>IF(OR('Blind Review'!$Y$12="Reviewed",'Blind Review'!$Y$12="Failure"),'Blind Review'!$Q$12,"")</x:f>
        <x:v>2</x:v>
      </x:c>
      <x:c r="K12" s="53" t="n">
        <x:f>IF(OR('Blind Review'!$Y$12="Reviewed",'Blind Review'!$Y$12="Failure"),'Blind Review'!$R$12,"")</x:f>
        <x:v>5</x:v>
      </x:c>
      <x:c r="L12" s="53" t="str">
        <x:f>'Blind Review'!$Y$12</x:f>
        <x:v>Reviewed</x:v>
      </x:c>
      <x:c r="M12" s="53" t="str">
        <x:f>IF('Blind Review'!$W$12&lt;&gt;"",'Blind Review'!$W$12,"")</x:f>
        <x:v>None</x:v>
      </x:c>
      <x:c r="N12" s="53" t="str">
        <x:f>IF('Blind Review'!$V$12&lt;&gt;"",'Blind Review'!$V$12,"")</x:f>
        <x:v>主要成分、用量与清洁利益点准确；建议将措辞改得更审慎，并补充具体平台和AI使用状态。</x:v>
      </x:c>
    </x:row>
    <x:row r="13" ht="42" customHeight="1">
      <x:c r="A13" s="53" t="str">
        <x:f>'Blind Review'!$B$13</x:f>
        <x:v>G005-B</x:v>
      </x:c>
      <x:c r="B13" s="53" t="str">
        <x:f>'Blind Review'!$C$13</x:f>
        <x:v>G005</x:v>
      </x:c>
      <x:c r="C13" s="53" t="str">
        <x:f>'Blind Review'!$D$13</x:f>
        <x:v>MV-CLEAN-001</x:v>
      </x:c>
      <x:c r="D13" s="53" t="str">
        <x:f>'Blind Review'!$E$13</x:f>
        <x:v>es-MX</x:v>
      </x:c>
      <x:c r="E13" s="53" t="str">
        <x:f>'Blind Review'!$F$13</x:f>
        <x:v>social_ad_copy</x:v>
      </x:c>
      <x:c r="F13" s="53" t="str">
        <x:f>'Blind Review'!$G$13</x:f>
        <x:v>B</x:v>
      </x:c>
      <x:c r="G13" s="53" t="str">
        <x:f>IF(OR('Blind Review'!$Y$13="Reviewed",'Blind Review'!$Y$13="Failure"),'Blind Review'!$I$13,"")</x:f>
        <x:v>Pass</x:v>
      </x:c>
      <x:c r="H13" s="59" t="n">
        <x:f>IF(OR('Blind Review'!$Y$13="Reviewed",'Blind Review'!$Y$13="Failure"),'Blind Review'!$X$13,"")</x:f>
        <x:v>4.285714285714286</x:v>
      </x:c>
      <x:c r="I13" s="53" t="n">
        <x:f>IF(OR('Blind Review'!$Y$13="Reviewed",'Blind Review'!$Y$13="Failure"),'Blind Review'!$P$13,"")</x:f>
        <x:v>4</x:v>
      </x:c>
      <x:c r="J13" s="53" t="n">
        <x:f>IF(OR('Blind Review'!$Y$13="Reviewed",'Blind Review'!$Y$13="Failure"),'Blind Review'!$Q$13,"")</x:f>
        <x:v>1</x:v>
      </x:c>
      <x:c r="K13" s="53" t="n">
        <x:f>IF(OR('Blind Review'!$Y$13="Reviewed",'Blind Review'!$Y$13="Failure"),'Blind Review'!$R$13,"")</x:f>
        <x:v>4</x:v>
      </x:c>
      <x:c r="L13" s="53" t="str">
        <x:f>'Blind Review'!$Y$13</x:f>
        <x:v>Reviewed</x:v>
      </x:c>
      <x:c r="M13" s="53" t="str">
        <x:f>IF('Blind Review'!$W$13&lt;&gt;"",'Blind Review'!$W$13,"")</x:f>
        <x:v>None</x:v>
      </x:c>
      <x:c r="N13" s="53" t="str">
        <x:f>IF('Blind Review'!$V$13&lt;&gt;"",'Blind Review'!$V$13,"")</x:f>
        <x:v>利益点限定清楚，用法与避开眼周信息完整，CTA克制；发布前补充平台元数据。</x:v>
      </x:c>
    </x:row>
    <x:row r="14" ht="42" customHeight="1">
      <x:c r="A14" s="53" t="str">
        <x:f>'Blind Review'!$B$14</x:f>
        <x:v>G006-A</x:v>
      </x:c>
      <x:c r="B14" s="53" t="str">
        <x:f>'Blind Review'!$C$14</x:f>
        <x:v>G006</x:v>
      </x:c>
      <x:c r="C14" s="53" t="str">
        <x:f>'Blind Review'!$D$14</x:f>
        <x:v>MV-HAND-001</x:v>
      </x:c>
      <x:c r="D14" s="53" t="str">
        <x:f>'Blind Review'!$E$14</x:f>
        <x:v>en-US</x:v>
      </x:c>
      <x:c r="E14" s="53" t="str">
        <x:f>'Blind Review'!$F$14</x:f>
        <x:v>short_video_script</x:v>
      </x:c>
      <x:c r="F14" s="53" t="str">
        <x:f>'Blind Review'!$G$14</x:f>
        <x:v>A</x:v>
      </x:c>
      <x:c r="G14" s="53" t="str">
        <x:f>IF(OR('Blind Review'!$Y$14="Reviewed",'Blind Review'!$Y$14="Failure"),'Blind Review'!$I$14,"")</x:f>
        <x:v>Fail</x:v>
      </x:c>
      <x:c r="H14" s="59" t="n">
        <x:f>IF(OR('Blind Review'!$Y$14="Reviewed",'Blind Review'!$Y$14="Failure"),'Blind Review'!$X$14,"")</x:f>
        <x:v>3.857142857142857</x:v>
      </x:c>
      <x:c r="I14" s="53" t="n">
        <x:f>IF(OR('Blind Review'!$Y$14="Reviewed",'Blind Review'!$Y$14="Failure"),'Blind Review'!$P$14,"")</x:f>
        <x:v>2</x:v>
      </x:c>
      <x:c r="J14" s="53" t="n">
        <x:f>IF(OR('Blind Review'!$Y$14="Reviewed",'Blind Review'!$Y$14="Failure"),'Blind Review'!$Q$14,"")</x:f>
        <x:v>2</x:v>
      </x:c>
      <x:c r="K14" s="53" t="n">
        <x:f>IF(OR('Blind Review'!$Y$14="Reviewed",'Blind Review'!$Y$14="Failure"),'Blind Review'!$R$14,"")</x:f>
        <x:v>5</x:v>
      </x:c>
      <x:c r="L14" s="53" t="str">
        <x:f>'Blind Review'!$Y$14</x:f>
        <x:v>Failure</x:v>
      </x:c>
      <x:c r="M14" s="53" t="str">
        <x:f>IF('Blind Review'!$W$14&lt;&gt;"",'Blind Review'!$W$14,"")</x:f>
        <x:v>Packaging mismatch</x:v>
      </x:c>
      <x:c r="N14" s="53" t="str">
        <x:f>IF('Blind Review'!$V$14&lt;&gt;"",'Blind Review'!$V$14,"")</x:f>
        <x:v>脚本节奏与语言表现良好，但“aluminum tube”与事实参考中的软管包装不一致；需修正包装陈述。</x:v>
      </x:c>
    </x:row>
    <x:row r="15" ht="42" customHeight="1">
      <x:c r="A15" s="53" t="str">
        <x:f>'Blind Review'!$B$15</x:f>
        <x:v>G006-B</x:v>
      </x:c>
      <x:c r="B15" s="53" t="str">
        <x:f>'Blind Review'!$C$15</x:f>
        <x:v>G006</x:v>
      </x:c>
      <x:c r="C15" s="53" t="str">
        <x:f>'Blind Review'!$D$15</x:f>
        <x:v>MV-HAND-001</x:v>
      </x:c>
      <x:c r="D15" s="53" t="str">
        <x:f>'Blind Review'!$E$15</x:f>
        <x:v>en-US</x:v>
      </x:c>
      <x:c r="E15" s="53" t="str">
        <x:f>'Blind Review'!$F$15</x:f>
        <x:v>short_video_script</x:v>
      </x:c>
      <x:c r="F15" s="53" t="str">
        <x:f>'Blind Review'!$G$15</x:f>
        <x:v>B</x:v>
      </x:c>
      <x:c r="G15" s="53" t="str">
        <x:f>IF(OR('Blind Review'!$Y$15="Reviewed",'Blind Review'!$Y$15="Failure"),'Blind Review'!$I$15,"")</x:f>
        <x:v>Fail</x:v>
      </x:c>
      <x:c r="H15" s="59" t="n">
        <x:f>IF(OR('Blind Review'!$Y$15="Reviewed",'Blind Review'!$Y$15="Failure"),'Blind Review'!$X$15,"")</x:f>
        <x:v>2.4285714285714284</x:v>
      </x:c>
      <x:c r="I15" s="53" t="n">
        <x:f>IF(OR('Blind Review'!$Y$15="Reviewed",'Blind Review'!$Y$15="Failure"),'Blind Review'!$P$15,"")</x:f>
        <x:v>2</x:v>
      </x:c>
      <x:c r="J15" s="53" t="n">
        <x:f>IF(OR('Blind Review'!$Y$15="Reviewed",'Blind Review'!$Y$15="Failure"),'Blind Review'!$Q$15,"")</x:f>
        <x:v>4</x:v>
      </x:c>
      <x:c r="K15" s="53" t="n">
        <x:f>IF(OR('Blind Review'!$Y$15="Reviewed",'Blind Review'!$Y$15="Failure"),'Blind Review'!$R$15,"")</x:f>
        <x:v>6</x:v>
      </x:c>
      <x:c r="L15" s="53" t="str">
        <x:f>'Blind Review'!$Y$15</x:f>
        <x:v>Failure</x:v>
      </x:c>
      <x:c r="M15" s="53" t="str">
        <x:f>IF('Blind Review'!$W$15&lt;&gt;"",'Blind Review'!$W$15,"")</x:f>
        <x:v>Prohibited claim; Brand risk</x:v>
      </x:c>
      <x:c r="N15" s="53" t="str">
        <x:f>IF('Blind Review'!$V$15&lt;&gt;"",'Blind Review'!$V$15,"")</x:f>
        <x:v>“Repairs dry hands”超出允许的感受型功效边界，语言也较模板化；需重写Hook、功效和AIGC信息。</x:v>
      </x:c>
    </x:row>
    <x:row r="16" ht="42" customHeight="1">
      <x:c r="A16" s="53" t="str">
        <x:f>'Blind Review'!$B$16</x:f>
        <x:v>G007-A</x:v>
      </x:c>
      <x:c r="B16" s="53" t="str">
        <x:f>'Blind Review'!$C$16</x:f>
        <x:v>G007</x:v>
      </x:c>
      <x:c r="C16" s="53" t="str">
        <x:f>'Blind Review'!$D$16</x:f>
        <x:v>MV-HAND-001</x:v>
      </x:c>
      <x:c r="D16" s="53" t="str">
        <x:f>'Blind Review'!$E$16</x:f>
        <x:v>en-US</x:v>
      </x:c>
      <x:c r="E16" s="53" t="str">
        <x:f>'Blind Review'!$F$16</x:f>
        <x:v>product_listing</x:v>
      </x:c>
      <x:c r="F16" s="53" t="str">
        <x:f>'Blind Review'!$G$16</x:f>
        <x:v>A</x:v>
      </x:c>
      <x:c r="G16" s="53" t="str">
        <x:f>IF(OR('Blind Review'!$Y$16="Reviewed",'Blind Review'!$Y$16="Failure"),'Blind Review'!$I$16,"")</x:f>
        <x:v>Fail</x:v>
      </x:c>
      <x:c r="H16" s="59" t="n">
        <x:f>IF(OR('Blind Review'!$Y$16="Reviewed",'Blind Review'!$Y$16="Failure"),'Blind Review'!$X$16,"")</x:f>
        <x:v>4</x:v>
      </x:c>
      <x:c r="I16" s="53" t="n">
        <x:f>IF(OR('Blind Review'!$Y$16="Reviewed",'Blind Review'!$Y$16="Failure"),'Blind Review'!$P$16,"")</x:f>
        <x:v>2</x:v>
      </x:c>
      <x:c r="J16" s="53" t="n">
        <x:f>IF(OR('Blind Review'!$Y$16="Reviewed",'Blind Review'!$Y$16="Failure"),'Blind Review'!$Q$16,"")</x:f>
        <x:v>2</x:v>
      </x:c>
      <x:c r="K16" s="53" t="n">
        <x:f>IF(OR('Blind Review'!$Y$16="Reviewed",'Blind Review'!$Y$16="Failure"),'Blind Review'!$R$16,"")</x:f>
        <x:v>6</x:v>
      </x:c>
      <x:c r="L16" s="53" t="str">
        <x:f>'Blind Review'!$Y$16</x:f>
        <x:v>Failure</x:v>
      </x:c>
      <x:c r="M16" s="53" t="str">
        <x:f>IF('Blind Review'!$W$16&lt;&gt;"",'Blind Review'!$W$16,"")</x:f>
        <x:v>Unsupported packaging</x:v>
      </x:c>
      <x:c r="N16" s="53" t="str">
        <x:f>IF('Blind Review'!$V$16&lt;&gt;"",'Blind Review'!$V$16,"")</x:f>
        <x:v>Listing结构与卖点完整，但铝管及PP盖材质未获事实参考支持且与软管描述不一致；需核验或删除。</x:v>
      </x:c>
    </x:row>
    <x:row r="17" ht="42" customHeight="1">
      <x:c r="A17" s="53" t="str">
        <x:f>'Blind Review'!$B$17</x:f>
        <x:v>G007-B</x:v>
      </x:c>
      <x:c r="B17" s="53" t="str">
        <x:f>'Blind Review'!$C$17</x:f>
        <x:v>G007</x:v>
      </x:c>
      <x:c r="C17" s="53" t="str">
        <x:f>'Blind Review'!$D$17</x:f>
        <x:v>MV-HAND-001</x:v>
      </x:c>
      <x:c r="D17" s="53" t="str">
        <x:f>'Blind Review'!$E$17</x:f>
        <x:v>en-US</x:v>
      </x:c>
      <x:c r="E17" s="53" t="str">
        <x:f>'Blind Review'!$F$17</x:f>
        <x:v>product_listing</x:v>
      </x:c>
      <x:c r="F17" s="53" t="str">
        <x:f>'Blind Review'!$G$17</x:f>
        <x:v>B</x:v>
      </x:c>
      <x:c r="G17" s="53" t="str">
        <x:f>IF(OR('Blind Review'!$Y$17="Reviewed",'Blind Review'!$Y$17="Failure"),'Blind Review'!$I$17,"")</x:f>
        <x:v>Fail</x:v>
      </x:c>
      <x:c r="H17" s="59" t="n">
        <x:f>IF(OR('Blind Review'!$Y$17="Reviewed",'Blind Review'!$Y$17="Failure"),'Blind Review'!$X$17,"")</x:f>
        <x:v>2.142857142857143</x:v>
      </x:c>
      <x:c r="I17" s="53" t="n">
        <x:f>IF(OR('Blind Review'!$Y$17="Reviewed",'Blind Review'!$Y$17="Failure"),'Blind Review'!$P$17,"")</x:f>
        <x:v>1</x:v>
      </x:c>
      <x:c r="J17" s="53" t="n">
        <x:f>IF(OR('Blind Review'!$Y$17="Reviewed",'Blind Review'!$Y$17="Failure"),'Blind Review'!$Q$17,"")</x:f>
        <x:v>5</x:v>
      </x:c>
      <x:c r="K17" s="53" t="n">
        <x:f>IF(OR('Blind Review'!$Y$17="Reviewed",'Blind Review'!$Y$17="Failure"),'Blind Review'!$R$17,"")</x:f>
        <x:v>8</x:v>
      </x:c>
      <x:c r="L17" s="53" t="str">
        <x:f>'Blind Review'!$Y$17</x:f>
        <x:v>Failure</x:v>
      </x:c>
      <x:c r="M17" s="53" t="str">
        <x:f>IF('Blind Review'!$W$17&lt;&gt;"",'Blind Review'!$W$17,"")</x:f>
        <x:v>Prohibited claim; Unsupported packaging; Platform structure</x:v>
      </x:c>
      <x:c r="N17" s="53" t="str">
        <x:f>IF('Blind Review'!$V$17&lt;&gt;"",'Blind Review'!$V$17,"")</x:f>
        <x:v>仅有3个要点，不符合Listing最低结构；同时包含“Repairs”越界功效及不一致的铝管材质，需要重写。</x:v>
      </x:c>
    </x:row>
    <x:row r="18" ht="42" customHeight="1">
      <x:c r="A18" s="53" t="str">
        <x:f>'Blind Review'!$B$18</x:f>
        <x:v>G008-A</x:v>
      </x:c>
      <x:c r="B18" s="53" t="str">
        <x:f>'Blind Review'!$C$18</x:f>
        <x:v>G008</x:v>
      </x:c>
      <x:c r="C18" s="53" t="str">
        <x:f>'Blind Review'!$D$18</x:f>
        <x:v>MV-CLEAN-001</x:v>
      </x:c>
      <x:c r="D18" s="53" t="str">
        <x:f>'Blind Review'!$E$18</x:f>
        <x:v>es-MX</x:v>
      </x:c>
      <x:c r="E18" s="53" t="str">
        <x:f>'Blind Review'!$F$18</x:f>
        <x:v>short_video_script</x:v>
      </x:c>
      <x:c r="F18" s="53" t="str">
        <x:f>'Blind Review'!$G$18</x:f>
        <x:v>A</x:v>
      </x:c>
      <x:c r="G18" s="53" t="str">
        <x:f>IF(OR('Blind Review'!$Y$18="Reviewed",'Blind Review'!$Y$18="Failure"),'Blind Review'!$I$18,"")</x:f>
        <x:v>Pass</x:v>
      </x:c>
      <x:c r="H18" s="59" t="n">
        <x:f>IF(OR('Blind Review'!$Y$18="Reviewed",'Blind Review'!$Y$18="Failure"),'Blind Review'!$X$18,"")</x:f>
        <x:v>3.142857142857143</x:v>
      </x:c>
      <x:c r="I18" s="53" t="n">
        <x:f>IF(OR('Blind Review'!$Y$18="Reviewed",'Blind Review'!$Y$18="Failure"),'Blind Review'!$P$18,"")</x:f>
        <x:v>3</x:v>
      </x:c>
      <x:c r="J18" s="53" t="n">
        <x:f>IF(OR('Blind Review'!$Y$18="Reviewed",'Blind Review'!$Y$18="Failure"),'Blind Review'!$Q$18,"")</x:f>
        <x:v>3</x:v>
      </x:c>
      <x:c r="K18" s="53" t="n">
        <x:f>IF(OR('Blind Review'!$Y$18="Reviewed",'Blind Review'!$Y$18="Failure"),'Blind Review'!$R$18,"")</x:f>
        <x:v>5</x:v>
      </x:c>
      <x:c r="L18" s="53" t="str">
        <x:f>'Blind Review'!$Y$18</x:f>
        <x:v>Reviewed</x:v>
      </x:c>
      <x:c r="M18" s="53" t="str">
        <x:f>IF('Blind Review'!$W$18&lt;&gt;"",'Blind Review'!$W$18,"")</x:f>
        <x:v>None</x:v>
      </x:c>
      <x:c r="N18" s="53" t="str">
        <x:f>IF('Blind Review'!$V$18&lt;&gt;"",'Blind Review'!$V$18,"")</x:f>
        <x:v>容量、用量和基础利益点准确，但西语表达较直译且遗漏避开眼周与差异化特征；建议润色。</x:v>
      </x:c>
    </x:row>
    <x:row r="19" ht="42" customHeight="1">
      <x:c r="A19" s="53" t="str">
        <x:f>'Blind Review'!$B$19</x:f>
        <x:v>G008-B</x:v>
      </x:c>
      <x:c r="B19" s="53" t="str">
        <x:f>'Blind Review'!$C$19</x:f>
        <x:v>G008</x:v>
      </x:c>
      <x:c r="C19" s="53" t="str">
        <x:f>'Blind Review'!$D$19</x:f>
        <x:v>MV-CLEAN-001</x:v>
      </x:c>
      <x:c r="D19" s="53" t="str">
        <x:f>'Blind Review'!$E$19</x:f>
        <x:v>es-MX</x:v>
      </x:c>
      <x:c r="E19" s="53" t="str">
        <x:f>'Blind Review'!$F$19</x:f>
        <x:v>short_video_script</x:v>
      </x:c>
      <x:c r="F19" s="53" t="str">
        <x:f>'Blind Review'!$G$19</x:f>
        <x:v>B</x:v>
      </x:c>
      <x:c r="G19" s="53" t="str">
        <x:f>IF(OR('Blind Review'!$Y$19="Reviewed",'Blind Review'!$Y$19="Failure"),'Blind Review'!$I$19,"")</x:f>
        <x:v>Pass</x:v>
      </x:c>
      <x:c r="H19" s="59" t="n">
        <x:f>IF(OR('Blind Review'!$Y$19="Reviewed",'Blind Review'!$Y$19="Failure"),'Blind Review'!$X$19,"")</x:f>
        <x:v>4.285714285714286</x:v>
      </x:c>
      <x:c r="I19" s="53" t="n">
        <x:f>IF(OR('Blind Review'!$Y$19="Reviewed",'Blind Review'!$Y$19="Failure"),'Blind Review'!$P$19,"")</x:f>
        <x:v>4</x:v>
      </x:c>
      <x:c r="J19" s="53" t="n">
        <x:f>IF(OR('Blind Review'!$Y$19="Reviewed",'Blind Review'!$Y$19="Failure"),'Blind Review'!$Q$19,"")</x:f>
        <x:v>1</x:v>
      </x:c>
      <x:c r="K19" s="53" t="n">
        <x:f>IF(OR('Blind Review'!$Y$19="Reviewed",'Blind Review'!$Y$19="Failure"),'Blind Review'!$R$19,"")</x:f>
        <x:v>4</x:v>
      </x:c>
      <x:c r="L19" s="53" t="str">
        <x:f>'Blind Review'!$Y$19</x:f>
        <x:v>Reviewed</x:v>
      </x:c>
      <x:c r="M19" s="53" t="str">
        <x:f>IF('Blind Review'!$W$19&lt;&gt;"",'Blind Review'!$W$19,"")</x:f>
        <x:v>None</x:v>
      </x:c>
      <x:c r="N19" s="53" t="str">
        <x:f>IF('Blind Review'!$V$19&lt;&gt;"",'Blind Review'!$V$19,"")</x:f>
        <x:v>脚本覆盖配方特征、感受型利益点和完整用法，表达自然；补充AIGC标识即可。</x:v>
      </x:c>
    </x:row>
    <x:row r="20" ht="42" customHeight="1">
      <x:c r="A20" s="53" t="str">
        <x:f>'Blind Review'!$B$20</x:f>
        <x:v>G009-A</x:v>
      </x:c>
      <x:c r="B20" s="53" t="str">
        <x:f>'Blind Review'!$C$20</x:f>
        <x:v>G009</x:v>
      </x:c>
      <x:c r="C20" s="53" t="str">
        <x:f>'Blind Review'!$D$20</x:f>
        <x:v>MV-KIT-001</x:v>
      </x:c>
      <x:c r="D20" s="53" t="str">
        <x:f>'Blind Review'!$E$20</x:f>
        <x:v>en-US</x:v>
      </x:c>
      <x:c r="E20" s="53" t="str">
        <x:f>'Blind Review'!$F$20</x:f>
        <x:v>short_video_script</x:v>
      </x:c>
      <x:c r="F20" s="53" t="str">
        <x:f>'Blind Review'!$G$20</x:f>
        <x:v>A</x:v>
      </x:c>
      <x:c r="G20" s="53" t="str">
        <x:f>IF(OR('Blind Review'!$Y$20="Reviewed",'Blind Review'!$Y$20="Failure"),'Blind Review'!$I$20,"")</x:f>
        <x:v>Fail</x:v>
      </x:c>
      <x:c r="H20" s="59" t="n">
        <x:f>IF(OR('Blind Review'!$Y$20="Reviewed",'Blind Review'!$Y$20="Failure"),'Blind Review'!$X$20,"")</x:f>
        <x:v>2.4285714285714284</x:v>
      </x:c>
      <x:c r="I20" s="53" t="n">
        <x:f>IF(OR('Blind Review'!$Y$20="Reviewed",'Blind Review'!$Y$20="Failure"),'Blind Review'!$P$20,"")</x:f>
        <x:v>2</x:v>
      </x:c>
      <x:c r="J20" s="53" t="n">
        <x:f>IF(OR('Blind Review'!$Y$20="Reviewed",'Blind Review'!$Y$20="Failure"),'Blind Review'!$Q$20,"")</x:f>
        <x:v>4</x:v>
      </x:c>
      <x:c r="K20" s="53" t="n">
        <x:f>IF(OR('Blind Review'!$Y$20="Reviewed",'Blind Review'!$Y$20="Failure"),'Blind Review'!$R$20,"")</x:f>
        <x:v>7</x:v>
      </x:c>
      <x:c r="L20" s="53" t="str">
        <x:f>'Blind Review'!$Y$20</x:f>
        <x:v>Failure</x:v>
      </x:c>
      <x:c r="M20" s="53" t="str">
        <x:f>IF('Blind Review'!$W$20&lt;&gt;"",'Blind Review'!$W$20,"")</x:f>
        <x:v>Prohibited claim; Brand risk</x:v>
      </x:c>
      <x:c r="N20" s="53" t="str">
        <x:f>IF('Blind Review'!$V$20&lt;&gt;"",'Blind Review'!$V$20,"")</x:f>
        <x:v>“Covers all of your skincare needs”属于禁止的全能承诺，且脚本较泛；需改写Hook与利益点。</x:v>
      </x:c>
    </x:row>
    <x:row r="21" ht="42" customHeight="1">
      <x:c r="A21" s="53" t="str">
        <x:f>'Blind Review'!$B$21</x:f>
        <x:v>G009-B</x:v>
      </x:c>
      <x:c r="B21" s="53" t="str">
        <x:f>'Blind Review'!$C$21</x:f>
        <x:v>G009</x:v>
      </x:c>
      <x:c r="C21" s="53" t="str">
        <x:f>'Blind Review'!$D$21</x:f>
        <x:v>MV-KIT-001</x:v>
      </x:c>
      <x:c r="D21" s="53" t="str">
        <x:f>'Blind Review'!$E$21</x:f>
        <x:v>en-US</x:v>
      </x:c>
      <x:c r="E21" s="53" t="str">
        <x:f>'Blind Review'!$F$21</x:f>
        <x:v>short_video_script</x:v>
      </x:c>
      <x:c r="F21" s="53" t="str">
        <x:f>'Blind Review'!$G$21</x:f>
        <x:v>B</x:v>
      </x:c>
      <x:c r="G21" s="53" t="str">
        <x:f>IF(OR('Blind Review'!$Y$21="Reviewed",'Blind Review'!$Y$21="Failure"),'Blind Review'!$I$21,"")</x:f>
        <x:v>Pass</x:v>
      </x:c>
      <x:c r="H21" s="59" t="n">
        <x:f>IF(OR('Blind Review'!$Y$21="Reviewed",'Blind Review'!$Y$21="Failure"),'Blind Review'!$X$21,"")</x:f>
        <x:v>4.285714285714286</x:v>
      </x:c>
      <x:c r="I21" s="53" t="n">
        <x:f>IF(OR('Blind Review'!$Y$21="Reviewed",'Blind Review'!$Y$21="Failure"),'Blind Review'!$P$21,"")</x:f>
        <x:v>4</x:v>
      </x:c>
      <x:c r="J21" s="53" t="n">
        <x:f>IF(OR('Blind Review'!$Y$21="Reviewed",'Blind Review'!$Y$21="Failure"),'Blind Review'!$Q$21,"")</x:f>
        <x:v>1</x:v>
      </x:c>
      <x:c r="K21" s="53" t="n">
        <x:f>IF(OR('Blind Review'!$Y$21="Reviewed",'Blind Review'!$Y$21="Failure"),'Blind Review'!$R$21,"")</x:f>
        <x:v>4</x:v>
      </x:c>
      <x:c r="L21" s="53" t="str">
        <x:f>'Blind Review'!$Y$21</x:f>
        <x:v>Reviewed</x:v>
      </x:c>
      <x:c r="M21" s="53" t="str">
        <x:f>IF('Blind Review'!$W$21&lt;&gt;"",'Blind Review'!$W$21,"")</x:f>
        <x:v>None</x:v>
      </x:c>
      <x:c r="N21" s="53" t="str">
        <x:f>IF('Blind Review'!$V$21&lt;&gt;"",'Blind Review'!$V$21,"")</x:f>
        <x:v>旅行场景、三步顺序和包装特点组织清晰，语气可信；发布前补充AIGC标识。</x:v>
      </x:c>
    </x:row>
    <x:row r="22" ht="42" customHeight="1">
      <x:c r="A22" s="53" t="str">
        <x:f>'Blind Review'!$B$22</x:f>
        <x:v>G010-A</x:v>
      </x:c>
      <x:c r="B22" s="53" t="str">
        <x:f>'Blind Review'!$C$22</x:f>
        <x:v>G010</x:v>
      </x:c>
      <x:c r="C22" s="53" t="str">
        <x:f>'Blind Review'!$D$22</x:f>
        <x:v>MV-SERUM-001</x:v>
      </x:c>
      <x:c r="D22" s="53" t="str">
        <x:f>'Blind Review'!$E$22</x:f>
        <x:v>en-US</x:v>
      </x:c>
      <x:c r="E22" s="53" t="str">
        <x:f>'Blind Review'!$F$22</x:f>
        <x:v>short_video_script</x:v>
      </x:c>
      <x:c r="F22" s="53" t="str">
        <x:f>'Blind Review'!$G$22</x:f>
        <x:v>A</x:v>
      </x:c>
      <x:c r="G22" s="53" t="str">
        <x:f>IF(OR('Blind Review'!$Y$22="Reviewed",'Blind Review'!$Y$22="Failure"),'Blind Review'!$I$22,"")</x:f>
        <x:v>Pass</x:v>
      </x:c>
      <x:c r="H22" s="59" t="n">
        <x:f>IF(OR('Blind Review'!$Y$22="Reviewed",'Blind Review'!$Y$22="Failure"),'Blind Review'!$X$22,"")</x:f>
        <x:v>3.142857142857143</x:v>
      </x:c>
      <x:c r="I22" s="53" t="n">
        <x:f>IF(OR('Blind Review'!$Y$22="Reviewed",'Blind Review'!$Y$22="Failure"),'Blind Review'!$P$22,"")</x:f>
        <x:v>3</x:v>
      </x:c>
      <x:c r="J22" s="53" t="n">
        <x:f>IF(OR('Blind Review'!$Y$22="Reviewed",'Blind Review'!$Y$22="Failure"),'Blind Review'!$Q$22,"")</x:f>
        <x:v>3</x:v>
      </x:c>
      <x:c r="K22" s="53" t="n">
        <x:f>IF(OR('Blind Review'!$Y$22="Reviewed",'Blind Review'!$Y$22="Failure"),'Blind Review'!$R$22,"")</x:f>
        <x:v>5</x:v>
      </x:c>
      <x:c r="L22" s="53" t="str">
        <x:f>'Blind Review'!$Y$22</x:f>
        <x:v>Reviewed</x:v>
      </x:c>
      <x:c r="M22" s="53" t="str">
        <x:f>IF('Blind Review'!$W$22&lt;&gt;"",'Blind Review'!$W$22,"")</x:f>
        <x:v>None</x:v>
      </x:c>
      <x:c r="N22" s="53" t="str">
        <x:f>IF('Blind Review'!$V$22&lt;&gt;"",'Blind Review'!$V$22,"")</x:f>
        <x:v>事实基本准确，但“pump 1–2 times on face”等表达生硬，卖点较泛；需语言润色并补AIGC标识。</x:v>
      </x:c>
    </x:row>
    <x:row r="23" ht="42" customHeight="1">
      <x:c r="A23" s="53" t="str">
        <x:f>'Blind Review'!$B$23</x:f>
        <x:v>G010-B</x:v>
      </x:c>
      <x:c r="B23" s="53" t="str">
        <x:f>'Blind Review'!$C$23</x:f>
        <x:v>G010</x:v>
      </x:c>
      <x:c r="C23" s="53" t="str">
        <x:f>'Blind Review'!$D$23</x:f>
        <x:v>MV-SERUM-001</x:v>
      </x:c>
      <x:c r="D23" s="53" t="str">
        <x:f>'Blind Review'!$E$23</x:f>
        <x:v>en-US</x:v>
      </x:c>
      <x:c r="E23" s="53" t="str">
        <x:f>'Blind Review'!$F$23</x:f>
        <x:v>short_video_script</x:v>
      </x:c>
      <x:c r="F23" s="53" t="str">
        <x:f>'Blind Review'!$G$23</x:f>
        <x:v>B</x:v>
      </x:c>
      <x:c r="G23" s="53" t="str">
        <x:f>IF(OR('Blind Review'!$Y$23="Reviewed",'Blind Review'!$Y$23="Failure"),'Blind Review'!$I$23,"")</x:f>
        <x:v>Pass</x:v>
      </x:c>
      <x:c r="H23" s="59" t="n">
        <x:f>IF(OR('Blind Review'!$Y$23="Reviewed",'Blind Review'!$Y$23="Failure"),'Blind Review'!$X$23,"")</x:f>
        <x:v>4.285714285714286</x:v>
      </x:c>
      <x:c r="I23" s="53" t="n">
        <x:f>IF(OR('Blind Review'!$Y$23="Reviewed",'Blind Review'!$Y$23="Failure"),'Blind Review'!$P$23,"")</x:f>
        <x:v>4</x:v>
      </x:c>
      <x:c r="J23" s="53" t="n">
        <x:f>IF(OR('Blind Review'!$Y$23="Reviewed",'Blind Review'!$Y$23="Failure"),'Blind Review'!$Q$23,"")</x:f>
        <x:v>1</x:v>
      </x:c>
      <x:c r="K23" s="53" t="n">
        <x:f>IF(OR('Blind Review'!$Y$23="Reviewed",'Blind Review'!$Y$23="Failure"),'Blind Review'!$R$23,"")</x:f>
        <x:v>4</x:v>
      </x:c>
      <x:c r="L23" s="53" t="str">
        <x:f>'Blind Review'!$Y$23</x:f>
        <x:v>Reviewed</x:v>
      </x:c>
      <x:c r="M23" s="53" t="str">
        <x:f>IF('Blind Review'!$W$23&lt;&gt;"",'Blind Review'!$W$23,"")</x:f>
        <x:v>None</x:v>
      </x:c>
      <x:c r="N23" s="53" t="str">
        <x:f>IF('Blind Review'!$V$23&lt;&gt;"",'Blind Review'!$V$23,"")</x:f>
        <x:v>轻盈补水定位、成分和用法均清楚，语言自然；仅需平台AIGC信息。</x:v>
      </x:c>
    </x:row>
    <x:row r="24" ht="42" customHeight="1">
      <x:c r="A24" s="53" t="str">
        <x:f>'Blind Review'!$B$24</x:f>
        <x:v>G011-A</x:v>
      </x:c>
      <x:c r="B24" s="53" t="str">
        <x:f>'Blind Review'!$C$24</x:f>
        <x:v>G011</x:v>
      </x:c>
      <x:c r="C24" s="53" t="str">
        <x:f>'Blind Review'!$D$24</x:f>
        <x:v>MV-CREAM-001</x:v>
      </x:c>
      <x:c r="D24" s="53" t="str">
        <x:f>'Blind Review'!$E$24</x:f>
        <x:v>es-MX</x:v>
      </x:c>
      <x:c r="E24" s="53" t="str">
        <x:f>'Blind Review'!$F$24</x:f>
        <x:v>social_ad_copy</x:v>
      </x:c>
      <x:c r="F24" s="53" t="str">
        <x:f>'Blind Review'!$G$24</x:f>
        <x:v>A</x:v>
      </x:c>
      <x:c r="G24" s="53" t="str">
        <x:f>IF(OR('Blind Review'!$Y$24="Reviewed",'Blind Review'!$Y$24="Failure"),'Blind Review'!$I$24,"")</x:f>
        <x:v>Pass</x:v>
      </x:c>
      <x:c r="H24" s="59" t="n">
        <x:f>IF(OR('Blind Review'!$Y$24="Reviewed",'Blind Review'!$Y$24="Failure"),'Blind Review'!$X$24,"")</x:f>
        <x:v>4.428571428571429</x:v>
      </x:c>
      <x:c r="I24" s="53" t="n">
        <x:f>IF(OR('Blind Review'!$Y$24="Reviewed",'Blind Review'!$Y$24="Failure"),'Blind Review'!$P$24,"")</x:f>
        <x:v>4</x:v>
      </x:c>
      <x:c r="J24" s="53" t="n">
        <x:f>IF(OR('Blind Review'!$Y$24="Reviewed",'Blind Review'!$Y$24="Failure"),'Blind Review'!$Q$24,"")</x:f>
        <x:v>1</x:v>
      </x:c>
      <x:c r="K24" s="53" t="n">
        <x:f>IF(OR('Blind Review'!$Y$24="Reviewed",'Blind Review'!$Y$24="Failure"),'Blind Review'!$R$24,"")</x:f>
        <x:v>4</x:v>
      </x:c>
      <x:c r="L24" s="53" t="str">
        <x:f>'Blind Review'!$Y$24</x:f>
        <x:v>Reviewed</x:v>
      </x:c>
      <x:c r="M24" s="53" t="str">
        <x:f>IF('Blind Review'!$W$24&lt;&gt;"",'Blind Review'!$W$24,"")</x:f>
        <x:v>None</x:v>
      </x:c>
      <x:c r="N24" s="53" t="str">
        <x:f>IF('Blind Review'!$V$24&lt;&gt;"",'Blind Review'!$V$24,"")</x:f>
        <x:v>墨西哥西语自然，功效限定审慎且防晒步骤清楚；补充发布平台和AI使用状态即可。</x:v>
      </x:c>
    </x:row>
    <x:row r="25" ht="42" customHeight="1">
      <x:c r="A25" s="53" t="str">
        <x:f>'Blind Review'!$B$25</x:f>
        <x:v>G011-B</x:v>
      </x:c>
      <x:c r="B25" s="53" t="str">
        <x:f>'Blind Review'!$C$25</x:f>
        <x:v>G011</x:v>
      </x:c>
      <x:c r="C25" s="53" t="str">
        <x:f>'Blind Review'!$D$25</x:f>
        <x:v>MV-CREAM-001</x:v>
      </x:c>
      <x:c r="D25" s="53" t="str">
        <x:f>'Blind Review'!$E$25</x:f>
        <x:v>es-MX</x:v>
      </x:c>
      <x:c r="E25" s="53" t="str">
        <x:f>'Blind Review'!$F$25</x:f>
        <x:v>social_ad_copy</x:v>
      </x:c>
      <x:c r="F25" s="53" t="str">
        <x:f>'Blind Review'!$G$25</x:f>
        <x:v>B</x:v>
      </x:c>
      <x:c r="G25" s="53" t="str">
        <x:f>IF(OR('Blind Review'!$Y$25="Reviewed",'Blind Review'!$Y$25="Failure"),'Blind Review'!$I$25,"")</x:f>
        <x:v>Pass</x:v>
      </x:c>
      <x:c r="H25" s="59" t="n">
        <x:f>IF(OR('Blind Review'!$Y$25="Reviewed",'Blind Review'!$Y$25="Failure"),'Blind Review'!$X$25,"")</x:f>
        <x:v>3.4285714285714284</x:v>
      </x:c>
      <x:c r="I25" s="53" t="n">
        <x:f>IF(OR('Blind Review'!$Y$25="Reviewed",'Blind Review'!$Y$25="Failure"),'Blind Review'!$P$25,"")</x:f>
        <x:v>3</x:v>
      </x:c>
      <x:c r="J25" s="53" t="n">
        <x:f>IF(OR('Blind Review'!$Y$25="Reviewed",'Blind Review'!$Y$25="Failure"),'Blind Review'!$Q$25,"")</x:f>
        <x:v>2</x:v>
      </x:c>
      <x:c r="K25" s="53" t="n">
        <x:f>IF(OR('Blind Review'!$Y$25="Reviewed",'Blind Review'!$Y$25="Failure"),'Blind Review'!$R$25,"")</x:f>
        <x:v>5</x:v>
      </x:c>
      <x:c r="L25" s="53" t="str">
        <x:f>'Blind Review'!$Y$25</x:f>
        <x:v>Reviewed</x:v>
      </x:c>
      <x:c r="M25" s="53" t="str">
        <x:f>IF('Blind Review'!$W$25&lt;&gt;"",'Blind Review'!$W$25,"")</x:f>
        <x:v>None</x:v>
      </x:c>
      <x:c r="N25" s="53" t="str">
        <x:f>IF('Blind Review'!$V$25&lt;&gt;"",'Blind Review'!$V$25,"")</x:f>
        <x:v>事实与成分准确，bloqueador符合本地用语；“Pon…en cara”等搭配较生硬，需润色并补平台信息。</x:v>
      </x:c>
    </x:row>
    <x:row r="26" ht="42" customHeight="1">
      <x:c r="A26" s="53" t="str">
        <x:f>'Blind Review'!$B$26</x:f>
        <x:v>G012-A</x:v>
      </x:c>
      <x:c r="B26" s="53" t="str">
        <x:f>'Blind Review'!$C$26</x:f>
        <x:v>G012</x:v>
      </x:c>
      <x:c r="C26" s="53" t="str">
        <x:f>'Blind Review'!$D$26</x:f>
        <x:v>MV-CREAM-001</x:v>
      </x:c>
      <x:c r="D26" s="53" t="str">
        <x:f>'Blind Review'!$E$26</x:f>
        <x:v>es-MX</x:v>
      </x:c>
      <x:c r="E26" s="53" t="str">
        <x:f>'Blind Review'!$F$26</x:f>
        <x:v>short_video_script</x:v>
      </x:c>
      <x:c r="F26" s="53" t="str">
        <x:f>'Blind Review'!$G$26</x:f>
        <x:v>A</x:v>
      </x:c>
      <x:c r="G26" s="53" t="str">
        <x:f>IF(OR('Blind Review'!$Y$26="Reviewed",'Blind Review'!$Y$26="Failure"),'Blind Review'!$I$26,"")</x:f>
        <x:v>Pass</x:v>
      </x:c>
      <x:c r="H26" s="59" t="n">
        <x:f>IF(OR('Blind Review'!$Y$26="Reviewed",'Blind Review'!$Y$26="Failure"),'Blind Review'!$X$26,"")</x:f>
        <x:v>3</x:v>
      </x:c>
      <x:c r="I26" s="53" t="n">
        <x:f>IF(OR('Blind Review'!$Y$26="Reviewed",'Blind Review'!$Y$26="Failure"),'Blind Review'!$P$26,"")</x:f>
        <x:v>3</x:v>
      </x:c>
      <x:c r="J26" s="53" t="n">
        <x:f>IF(OR('Blind Review'!$Y$26="Reviewed",'Blind Review'!$Y$26="Failure"),'Blind Review'!$Q$26,"")</x:f>
        <x:v>3</x:v>
      </x:c>
      <x:c r="K26" s="53" t="n">
        <x:f>IF(OR('Blind Review'!$Y$26="Reviewed",'Blind Review'!$Y$26="Failure"),'Blind Review'!$R$26,"")</x:f>
        <x:v>6</x:v>
      </x:c>
      <x:c r="L26" s="53" t="str">
        <x:f>'Blind Review'!$Y$26</x:f>
        <x:v>Failure</x:v>
      </x:c>
      <x:c r="M26" s="53" t="str">
        <x:f>IF('Blind Review'!$W$26&lt;&gt;"",'Blind Review'!$W$26,"")</x:f>
        <x:v>Language issue; Borderline mean score</x:v>
      </x:c>
      <x:c r="N26" s="53" t="str">
        <x:f>IF('Blind Review'!$V$26&lt;&gt;"",'Blind Review'!$V$26,"")</x:f>
        <x:v>事实基本准确，但“Crema de cara libre de fragancia”和“cuidado diario de piel”翻译感明显；需本地化润色。</x:v>
      </x:c>
    </x:row>
    <x:row r="27" ht="42" customHeight="1">
      <x:c r="A27" s="53" t="str">
        <x:f>'Blind Review'!$B$27</x:f>
        <x:v>G012-B</x:v>
      </x:c>
      <x:c r="B27" s="53" t="str">
        <x:f>'Blind Review'!$C$27</x:f>
        <x:v>G012</x:v>
      </x:c>
      <x:c r="C27" s="53" t="str">
        <x:f>'Blind Review'!$D$27</x:f>
        <x:v>MV-CREAM-001</x:v>
      </x:c>
      <x:c r="D27" s="53" t="str">
        <x:f>'Blind Review'!$E$27</x:f>
        <x:v>es-MX</x:v>
      </x:c>
      <x:c r="E27" s="53" t="str">
        <x:f>'Blind Review'!$F$27</x:f>
        <x:v>short_video_script</x:v>
      </x:c>
      <x:c r="F27" s="53" t="str">
        <x:f>'Blind Review'!$G$27</x:f>
        <x:v>B</x:v>
      </x:c>
      <x:c r="G27" s="53" t="str">
        <x:f>IF(OR('Blind Review'!$Y$27="Reviewed",'Blind Review'!$Y$27="Failure"),'Blind Review'!$I$27,"")</x:f>
        <x:v>Pass</x:v>
      </x:c>
      <x:c r="H27" s="59" t="n">
        <x:f>IF(OR('Blind Review'!$Y$27="Reviewed",'Blind Review'!$Y$27="Failure"),'Blind Review'!$X$27,"")</x:f>
        <x:v>4.428571428571429</x:v>
      </x:c>
      <x:c r="I27" s="53" t="n">
        <x:f>IF(OR('Blind Review'!$Y$27="Reviewed",'Blind Review'!$Y$27="Failure"),'Blind Review'!$P$27,"")</x:f>
        <x:v>4</x:v>
      </x:c>
      <x:c r="J27" s="53" t="n">
        <x:f>IF(OR('Blind Review'!$Y$27="Reviewed",'Blind Review'!$Y$27="Failure"),'Blind Review'!$Q$27,"")</x:f>
        <x:v>1</x:v>
      </x:c>
      <x:c r="K27" s="53" t="n">
        <x:f>IF(OR('Blind Review'!$Y$27="Reviewed",'Blind Review'!$Y$27="Failure"),'Blind Review'!$R$27,"")</x:f>
        <x:v>4</x:v>
      </x:c>
      <x:c r="L27" s="53" t="str">
        <x:f>'Blind Review'!$Y$27</x:f>
        <x:v>Reviewed</x:v>
      </x:c>
      <x:c r="M27" s="53" t="str">
        <x:f>IF('Blind Review'!$W$27&lt;&gt;"",'Blind Review'!$W$27,"")</x:f>
        <x:v>None</x:v>
      </x:c>
      <x:c r="N27" s="53" t="str">
        <x:f>IF('Blind Review'!$V$27&lt;&gt;"",'Blind Review'!$V$27,"")</x:f>
        <x:v>脚本语言自然，成分利益点与使用方法匹配，CTA适度；仅需AIGC标识。</x:v>
      </x:c>
    </x:row>
    <x:row r="28" ht="42" customHeight="1">
      <x:c r="A28" s="53" t="str">
        <x:f>'Blind Review'!$B$28</x:f>
        <x:v>G013-A</x:v>
      </x:c>
      <x:c r="B28" s="53" t="str">
        <x:f>'Blind Review'!$C$28</x:f>
        <x:v>G013</x:v>
      </x:c>
      <x:c r="C28" s="53" t="str">
        <x:f>'Blind Review'!$D$28</x:f>
        <x:v>MV-CLEAN-001</x:v>
      </x:c>
      <x:c r="D28" s="53" t="str">
        <x:f>'Blind Review'!$E$28</x:f>
        <x:v>en-US</x:v>
      </x:c>
      <x:c r="E28" s="53" t="str">
        <x:f>'Blind Review'!$F$28</x:f>
        <x:v>short_video_script</x:v>
      </x:c>
      <x:c r="F28" s="53" t="str">
        <x:f>'Blind Review'!$G$28</x:f>
        <x:v>A</x:v>
      </x:c>
      <x:c r="G28" s="53" t="str">
        <x:f>IF(OR('Blind Review'!$Y$28="Reviewed",'Blind Review'!$Y$28="Failure"),'Blind Review'!$I$28,"")</x:f>
        <x:v>Pass</x:v>
      </x:c>
      <x:c r="H28" s="59" t="n">
        <x:f>IF(OR('Blind Review'!$Y$28="Reviewed",'Blind Review'!$Y$28="Failure"),'Blind Review'!$X$28,"")</x:f>
        <x:v>3.142857142857143</x:v>
      </x:c>
      <x:c r="I28" s="53" t="n">
        <x:f>IF(OR('Blind Review'!$Y$28="Reviewed",'Blind Review'!$Y$28="Failure"),'Blind Review'!$P$28,"")</x:f>
        <x:v>3</x:v>
      </x:c>
      <x:c r="J28" s="53" t="n">
        <x:f>IF(OR('Blind Review'!$Y$28="Reviewed",'Blind Review'!$Y$28="Failure"),'Blind Review'!$Q$28,"")</x:f>
        <x:v>3</x:v>
      </x:c>
      <x:c r="K28" s="53" t="n">
        <x:f>IF(OR('Blind Review'!$Y$28="Reviewed",'Blind Review'!$Y$28="Failure"),'Blind Review'!$R$28,"")</x:f>
        <x:v>5</x:v>
      </x:c>
      <x:c r="L28" s="53" t="str">
        <x:f>'Blind Review'!$Y$28</x:f>
        <x:v>Reviewed</x:v>
      </x:c>
      <x:c r="M28" s="53" t="str">
        <x:f>IF('Blind Review'!$W$28&lt;&gt;"",'Blind Review'!$W$28,"")</x:f>
        <x:v>None</x:v>
      </x:c>
      <x:c r="N28" s="53" t="str">
        <x:f>IF('Blind Review'!$V$28&lt;&gt;"",'Blind Review'!$V$28,"")</x:f>
        <x:v>核心事实和时长结构可用，但“on the wet face”“wash with water”不够自然，且卖点区分度有限。</x:v>
      </x:c>
    </x:row>
    <x:row r="29" ht="42" customHeight="1">
      <x:c r="A29" s="53" t="str">
        <x:f>'Blind Review'!$B$29</x:f>
        <x:v>G013-B</x:v>
      </x:c>
      <x:c r="B29" s="53" t="str">
        <x:f>'Blind Review'!$C$29</x:f>
        <x:v>G013</x:v>
      </x:c>
      <x:c r="C29" s="53" t="str">
        <x:f>'Blind Review'!$D$29</x:f>
        <x:v>MV-CLEAN-001</x:v>
      </x:c>
      <x:c r="D29" s="53" t="str">
        <x:f>'Blind Review'!$E$29</x:f>
        <x:v>en-US</x:v>
      </x:c>
      <x:c r="E29" s="53" t="str">
        <x:f>'Blind Review'!$F$29</x:f>
        <x:v>short_video_script</x:v>
      </x:c>
      <x:c r="F29" s="53" t="str">
        <x:f>'Blind Review'!$G$29</x:f>
        <x:v>B</x:v>
      </x:c>
      <x:c r="G29" s="53" t="str">
        <x:f>IF(OR('Blind Review'!$Y$29="Reviewed",'Blind Review'!$Y$29="Failure"),'Blind Review'!$I$29,"")</x:f>
        <x:v>Pass</x:v>
      </x:c>
      <x:c r="H29" s="59" t="n">
        <x:f>IF(OR('Blind Review'!$Y$29="Reviewed",'Blind Review'!$Y$29="Failure"),'Blind Review'!$X$29,"")</x:f>
        <x:v>4.285714285714286</x:v>
      </x:c>
      <x:c r="I29" s="53" t="n">
        <x:f>IF(OR('Blind Review'!$Y$29="Reviewed",'Blind Review'!$Y$29="Failure"),'Blind Review'!$P$29,"")</x:f>
        <x:v>4</x:v>
      </x:c>
      <x:c r="J29" s="53" t="n">
        <x:f>IF(OR('Blind Review'!$Y$29="Reviewed",'Blind Review'!$Y$29="Failure"),'Blind Review'!$Q$29,"")</x:f>
        <x:v>1</x:v>
      </x:c>
      <x:c r="K29" s="53" t="n">
        <x:f>IF(OR('Blind Review'!$Y$29="Reviewed",'Blind Review'!$Y$29="Failure"),'Blind Review'!$R$29,"")</x:f>
        <x:v>4</x:v>
      </x:c>
      <x:c r="L29" s="53" t="str">
        <x:f>'Blind Review'!$Y$29</x:f>
        <x:v>Reviewed</x:v>
      </x:c>
      <x:c r="M29" s="53" t="str">
        <x:f>IF('Blind Review'!$W$29&lt;&gt;"",'Blind Review'!$W$29,"")</x:f>
        <x:v>None</x:v>
      </x:c>
      <x:c r="N29" s="53" t="str">
        <x:f>IF('Blind Review'!$V$29&lt;&gt;"",'Blind Review'!$V$29,"")</x:f>
        <x:v>特征、清洁感受与使用步骤完整，语言自然克制；发布前补充AIGC标识。</x:v>
      </x:c>
    </x:row>
    <x:row r="30" ht="42" customHeight="1">
      <x:c r="A30" s="53" t="str">
        <x:f>'Blind Review'!$B$30</x:f>
        <x:v>G014-A</x:v>
      </x:c>
      <x:c r="B30" s="53" t="str">
        <x:f>'Blind Review'!$C$30</x:f>
        <x:v>G014</x:v>
      </x:c>
      <x:c r="C30" s="53" t="str">
        <x:f>'Blind Review'!$D$30</x:f>
        <x:v>MV-SERUM-001</x:v>
      </x:c>
      <x:c r="D30" s="53" t="str">
        <x:f>'Blind Review'!$E$30</x:f>
        <x:v>es-MX</x:v>
      </x:c>
      <x:c r="E30" s="53" t="str">
        <x:f>'Blind Review'!$F$30</x:f>
        <x:v>social_ad_copy</x:v>
      </x:c>
      <x:c r="F30" s="53" t="str">
        <x:f>'Blind Review'!$G$30</x:f>
        <x:v>A</x:v>
      </x:c>
      <x:c r="G30" s="53" t="str">
        <x:f>IF(OR('Blind Review'!$Y$30="Reviewed",'Blind Review'!$Y$30="Failure"),'Blind Review'!$I$30,"")</x:f>
        <x:v>Pass</x:v>
      </x:c>
      <x:c r="H30" s="59" t="n">
        <x:f>IF(OR('Blind Review'!$Y$30="Reviewed",'Blind Review'!$Y$30="Failure"),'Blind Review'!$X$30,"")</x:f>
        <x:v>4.428571428571429</x:v>
      </x:c>
      <x:c r="I30" s="53" t="n">
        <x:f>IF(OR('Blind Review'!$Y$30="Reviewed",'Blind Review'!$Y$30="Failure"),'Blind Review'!$P$30,"")</x:f>
        <x:v>4</x:v>
      </x:c>
      <x:c r="J30" s="53" t="n">
        <x:f>IF(OR('Blind Review'!$Y$30="Reviewed",'Blind Review'!$Y$30="Failure"),'Blind Review'!$Q$30,"")</x:f>
        <x:v>1</x:v>
      </x:c>
      <x:c r="K30" s="53" t="n">
        <x:f>IF(OR('Blind Review'!$Y$30="Reviewed",'Blind Review'!$Y$30="Failure"),'Blind Review'!$R$30,"")</x:f>
        <x:v>4</x:v>
      </x:c>
      <x:c r="L30" s="53" t="str">
        <x:f>'Blind Review'!$Y$30</x:f>
        <x:v>Reviewed</x:v>
      </x:c>
      <x:c r="M30" s="53" t="str">
        <x:f>IF('Blind Review'!$W$30&lt;&gt;"",'Blind Review'!$W$30,"")</x:f>
        <x:v>None</x:v>
      </x:c>
      <x:c r="N30" s="53" t="str">
        <x:f>IF('Blind Review'!$V$30&lt;&gt;"",'Blind Review'!$V$30,"")</x:f>
        <x:v>利益点、成分与用法表达准确自然，符合墨西哥西语习惯；补充平台及AI状态。</x:v>
      </x:c>
    </x:row>
    <x:row r="31" ht="42" customHeight="1">
      <x:c r="A31" s="53" t="str">
        <x:f>'Blind Review'!$B$31</x:f>
        <x:v>G014-B</x:v>
      </x:c>
      <x:c r="B31" s="53" t="str">
        <x:f>'Blind Review'!$C$31</x:f>
        <x:v>G014</x:v>
      </x:c>
      <x:c r="C31" s="53" t="str">
        <x:f>'Blind Review'!$D$31</x:f>
        <x:v>MV-SERUM-001</x:v>
      </x:c>
      <x:c r="D31" s="53" t="str">
        <x:f>'Blind Review'!$E$31</x:f>
        <x:v>es-MX</x:v>
      </x:c>
      <x:c r="E31" s="53" t="str">
        <x:f>'Blind Review'!$F$31</x:f>
        <x:v>social_ad_copy</x:v>
      </x:c>
      <x:c r="F31" s="53" t="str">
        <x:f>'Blind Review'!$G$31</x:f>
        <x:v>B</x:v>
      </x:c>
      <x:c r="G31" s="53" t="str">
        <x:f>IF(OR('Blind Review'!$Y$31="Reviewed",'Blind Review'!$Y$31="Failure"),'Blind Review'!$I$31,"")</x:f>
        <x:v>Pass</x:v>
      </x:c>
      <x:c r="H31" s="59" t="n">
        <x:f>IF(OR('Blind Review'!$Y$31="Reviewed",'Blind Review'!$Y$31="Failure"),'Blind Review'!$X$31,"")</x:f>
        <x:v>3.2857142857142856</x:v>
      </x:c>
      <x:c r="I31" s="53" t="n">
        <x:f>IF(OR('Blind Review'!$Y$31="Reviewed",'Blind Review'!$Y$31="Failure"),'Blind Review'!$P$31,"")</x:f>
        <x:v>3</x:v>
      </x:c>
      <x:c r="J31" s="53" t="n">
        <x:f>IF(OR('Blind Review'!$Y$31="Reviewed",'Blind Review'!$Y$31="Failure"),'Blind Review'!$Q$31,"")</x:f>
        <x:v>3</x:v>
      </x:c>
      <x:c r="K31" s="53" t="n">
        <x:f>IF(OR('Blind Review'!$Y$31="Reviewed",'Blind Review'!$Y$31="Failure"),'Blind Review'!$R$31,"")</x:f>
        <x:v>5</x:v>
      </x:c>
      <x:c r="L31" s="53" t="str">
        <x:f>'Blind Review'!$Y$31</x:f>
        <x:v>Reviewed</x:v>
      </x:c>
      <x:c r="M31" s="53" t="str">
        <x:f>IF('Blind Review'!$W$31&lt;&gt;"",'Blind Review'!$W$31,"")</x:f>
        <x:v>None</x:v>
      </x:c>
      <x:c r="N31" s="53" t="str">
        <x:f>IF('Blind Review'!$V$31&lt;&gt;"",'Blind Review'!$V$31,"")</x:f>
        <x:v>事实准确但“bombea 1–2 veces”等搭配不自然，利益点较泛；需润色并补充平台元数据。</x:v>
      </x:c>
    </x:row>
    <x:row r="32" ht="42" customHeight="1">
      <x:c r="A32" s="53" t="str">
        <x:f>'Blind Review'!$B$32</x:f>
        <x:v>G015-A</x:v>
      </x:c>
      <x:c r="B32" s="53" t="str">
        <x:f>'Blind Review'!$C$32</x:f>
        <x:v>G015</x:v>
      </x:c>
      <x:c r="C32" s="53" t="str">
        <x:f>'Blind Review'!$D$32</x:f>
        <x:v>MV-KIT-001</x:v>
      </x:c>
      <x:c r="D32" s="53" t="str">
        <x:f>'Blind Review'!$E$32</x:f>
        <x:v>es-MX</x:v>
      </x:c>
      <x:c r="E32" s="53" t="str">
        <x:f>'Blind Review'!$F$32</x:f>
        <x:v>product_listing</x:v>
      </x:c>
      <x:c r="F32" s="53" t="str">
        <x:f>'Blind Review'!$G$32</x:f>
        <x:v>A</x:v>
      </x:c>
      <x:c r="G32" s="53" t="str">
        <x:f>IF(OR('Blind Review'!$Y$32="Reviewed",'Blind Review'!$Y$32="Failure"),'Blind Review'!$I$32,"")</x:f>
        <x:v>Fail</x:v>
      </x:c>
      <x:c r="H32" s="59" t="n">
        <x:f>IF(OR('Blind Review'!$Y$32="Reviewed",'Blind Review'!$Y$32="Failure"),'Blind Review'!$X$32,"")</x:f>
        <x:v>1.8571428571428572</x:v>
      </x:c>
      <x:c r="I32" s="53" t="n">
        <x:f>IF(OR('Blind Review'!$Y$32="Reviewed",'Blind Review'!$Y$32="Failure"),'Blind Review'!$P$32,"")</x:f>
        <x:v>1</x:v>
      </x:c>
      <x:c r="J32" s="53" t="n">
        <x:f>IF(OR('Blind Review'!$Y$32="Reviewed",'Blind Review'!$Y$32="Failure"),'Blind Review'!$Q$32,"")</x:f>
        <x:v>5</x:v>
      </x:c>
      <x:c r="K32" s="53" t="n">
        <x:f>IF(OR('Blind Review'!$Y$32="Reviewed",'Blind Review'!$Y$32="Failure"),'Blind Review'!$R$32,"")</x:f>
        <x:v>8</x:v>
      </x:c>
      <x:c r="L32" s="53" t="str">
        <x:f>'Blind Review'!$Y$32</x:f>
        <x:v>Failure</x:v>
      </x:c>
      <x:c r="M32" s="53" t="str">
        <x:f>IF('Blind Review'!$W$32&lt;&gt;"",'Blind Review'!$W$32,"")</x:f>
        <x:v>Prohibited claim; Localization issue; Platform structure</x:v>
      </x:c>
      <x:c r="N32" s="53" t="str">
        <x:f>IF('Blind Review'!$V$32&lt;&gt;"",'Blind Review'!$V$32,"")</x:f>
        <x:v>仅3个要点且中英混排，不符合Listing结构；“Cubre todas tus necesidades”是禁止的全能承诺，需重写。</x:v>
      </x:c>
    </x:row>
    <x:row r="33" ht="42" customHeight="1">
      <x:c r="A33" s="53" t="str">
        <x:f>'Blind Review'!$B$33</x:f>
        <x:v>G015-B</x:v>
      </x:c>
      <x:c r="B33" s="53" t="str">
        <x:f>'Blind Review'!$C$33</x:f>
        <x:v>G015</x:v>
      </x:c>
      <x:c r="C33" s="53" t="str">
        <x:f>'Blind Review'!$D$33</x:f>
        <x:v>MV-KIT-001</x:v>
      </x:c>
      <x:c r="D33" s="53" t="str">
        <x:f>'Blind Review'!$E$33</x:f>
        <x:v>es-MX</x:v>
      </x:c>
      <x:c r="E33" s="53" t="str">
        <x:f>'Blind Review'!$F$33</x:f>
        <x:v>product_listing</x:v>
      </x:c>
      <x:c r="F33" s="53" t="str">
        <x:f>'Blind Review'!$G$33</x:f>
        <x:v>B</x:v>
      </x:c>
      <x:c r="G33" s="53" t="str">
        <x:f>IF(OR('Blind Review'!$Y$33="Reviewed",'Blind Review'!$Y$33="Failure"),'Blind Review'!$I$33,"")</x:f>
        <x:v>Pass</x:v>
      </x:c>
      <x:c r="H33" s="59" t="n">
        <x:f>IF(OR('Blind Review'!$Y$33="Reviewed",'Blind Review'!$Y$33="Failure"),'Blind Review'!$X$33,"")</x:f>
        <x:v>3.857142857142857</x:v>
      </x:c>
      <x:c r="I33" s="53" t="n">
        <x:f>IF(OR('Blind Review'!$Y$33="Reviewed",'Blind Review'!$Y$33="Failure"),'Blind Review'!$P$33,"")</x:f>
        <x:v>3</x:v>
      </x:c>
      <x:c r="J33" s="53" t="n">
        <x:f>IF(OR('Blind Review'!$Y$33="Reviewed",'Blind Review'!$Y$33="Failure"),'Blind Review'!$Q$33,"")</x:f>
        <x:v>2</x:v>
      </x:c>
      <x:c r="K33" s="53" t="n">
        <x:f>IF(OR('Blind Review'!$Y$33="Reviewed",'Blind Review'!$Y$33="Failure"),'Blind Review'!$R$33,"")</x:f>
        <x:v>6</x:v>
      </x:c>
      <x:c r="L33" s="53" t="str">
        <x:f>'Blind Review'!$Y$33</x:f>
        <x:v>Reviewed</x:v>
      </x:c>
      <x:c r="M33" s="53" t="str">
        <x:f>IF('Blind Review'!$W$33&lt;&gt;"",'Blind Review'!$W$33,"")</x:f>
        <x:v>None</x:v>
      </x:c>
      <x:c r="N33" s="53" t="str">
        <x:f>IF('Blind Review'!$V$33&lt;&gt;"",'Blind Review'!$V$33,"")</x:f>
        <x:v>信息和Listing结构完整，但“Formulado con limpiador”及“3 pieces”不够自然；本地化润色后可用。</x:v>
      </x:c>
    </x:row>
    <x:row r="34" ht="42" customHeight="1">
      <x:c r="A34" s="53" t="str">
        <x:f>'Blind Review'!$B$34</x:f>
        <x:v>G016-A</x:v>
      </x:c>
      <x:c r="B34" s="53" t="str">
        <x:f>'Blind Review'!$C$34</x:f>
        <x:v>G016</x:v>
      </x:c>
      <x:c r="C34" s="53" t="str">
        <x:f>'Blind Review'!$D$34</x:f>
        <x:v>MV-KIT-001</x:v>
      </x:c>
      <x:c r="D34" s="53" t="str">
        <x:f>'Blind Review'!$E$34</x:f>
        <x:v>en-US</x:v>
      </x:c>
      <x:c r="E34" s="53" t="str">
        <x:f>'Blind Review'!$F$34</x:f>
        <x:v>product_listing</x:v>
      </x:c>
      <x:c r="F34" s="53" t="str">
        <x:f>'Blind Review'!$G$34</x:f>
        <x:v>A</x:v>
      </x:c>
      <x:c r="G34" s="53" t="str">
        <x:f>IF(OR('Blind Review'!$Y$34="Reviewed",'Blind Review'!$Y$34="Failure"),'Blind Review'!$I$34,"")</x:f>
        <x:v>Pass</x:v>
      </x:c>
      <x:c r="H34" s="59" t="n">
        <x:f>IF(OR('Blind Review'!$Y$34="Reviewed",'Blind Review'!$Y$34="Failure"),'Blind Review'!$X$34,"")</x:f>
        <x:v>4.285714285714286</x:v>
      </x:c>
      <x:c r="I34" s="53" t="n">
        <x:f>IF(OR('Blind Review'!$Y$34="Reviewed",'Blind Review'!$Y$34="Failure"),'Blind Review'!$P$34,"")</x:f>
        <x:v>4</x:v>
      </x:c>
      <x:c r="J34" s="53" t="n">
        <x:f>IF(OR('Blind Review'!$Y$34="Reviewed",'Blind Review'!$Y$34="Failure"),'Blind Review'!$Q$34,"")</x:f>
        <x:v>1</x:v>
      </x:c>
      <x:c r="K34" s="53" t="n">
        <x:f>IF(OR('Blind Review'!$Y$34="Reviewed",'Blind Review'!$Y$34="Failure"),'Blind Review'!$R$34,"")</x:f>
        <x:v>5</x:v>
      </x:c>
      <x:c r="L34" s="53" t="str">
        <x:f>'Blind Review'!$Y$34</x:f>
        <x:v>Reviewed</x:v>
      </x:c>
      <x:c r="M34" s="53" t="str">
        <x:f>IF('Blind Review'!$W$34&lt;&gt;"",'Blind Review'!$W$34,"")</x:f>
        <x:v>None</x:v>
      </x:c>
      <x:c r="N34" s="53" t="str">
        <x:f>IF('Blind Review'!$V$34&lt;&gt;"",'Blind Review'!$V$34,"")</x:f>
        <x:v>Listing结构完整、事实覆盖充分；“Made with a 30 mL cleanser”可轻微改写并补充结构化AI字段。</x:v>
      </x:c>
    </x:row>
    <x:row r="35" ht="42" customHeight="1">
      <x:c r="A35" s="53" t="str">
        <x:f>'Blind Review'!$B$35</x:f>
        <x:v>G016-B</x:v>
      </x:c>
      <x:c r="B35" s="53" t="str">
        <x:f>'Blind Review'!$C$35</x:f>
        <x:v>G016</x:v>
      </x:c>
      <x:c r="C35" s="53" t="str">
        <x:f>'Blind Review'!$D$35</x:f>
        <x:v>MV-KIT-001</x:v>
      </x:c>
      <x:c r="D35" s="53" t="str">
        <x:f>'Blind Review'!$E$35</x:f>
        <x:v>en-US</x:v>
      </x:c>
      <x:c r="E35" s="53" t="str">
        <x:f>'Blind Review'!$F$35</x:f>
        <x:v>product_listing</x:v>
      </x:c>
      <x:c r="F35" s="53" t="str">
        <x:f>'Blind Review'!$G$35</x:f>
        <x:v>B</x:v>
      </x:c>
      <x:c r="G35" s="53" t="str">
        <x:f>IF(OR('Blind Review'!$Y$35="Reviewed",'Blind Review'!$Y$35="Failure"),'Blind Review'!$I$35,"")</x:f>
        <x:v>Fail</x:v>
      </x:c>
      <x:c r="H35" s="59" t="n">
        <x:f>IF(OR('Blind Review'!$Y$35="Reviewed",'Blind Review'!$Y$35="Failure"),'Blind Review'!$X$35,"")</x:f>
        <x:v>2.142857142857143</x:v>
      </x:c>
      <x:c r="I35" s="53" t="n">
        <x:f>IF(OR('Blind Review'!$Y$35="Reviewed",'Blind Review'!$Y$35="Failure"),'Blind Review'!$P$35,"")</x:f>
        <x:v>1</x:v>
      </x:c>
      <x:c r="J35" s="53" t="n">
        <x:f>IF(OR('Blind Review'!$Y$35="Reviewed",'Blind Review'!$Y$35="Failure"),'Blind Review'!$Q$35,"")</x:f>
        <x:v>5</x:v>
      </x:c>
      <x:c r="K35" s="53" t="n">
        <x:f>IF(OR('Blind Review'!$Y$35="Reviewed",'Blind Review'!$Y$35="Failure"),'Blind Review'!$R$35,"")</x:f>
        <x:v>8</x:v>
      </x:c>
      <x:c r="L35" s="53" t="str">
        <x:f>'Blind Review'!$Y$35</x:f>
        <x:v>Failure</x:v>
      </x:c>
      <x:c r="M35" s="53" t="str">
        <x:f>IF('Blind Review'!$W$35&lt;&gt;"",'Blind Review'!$W$35,"")</x:f>
        <x:v>Prohibited claim; Platform structure</x:v>
      </x:c>
      <x:c r="N35" s="53" t="str">
        <x:f>IF('Blind Review'!$V$35&lt;&gt;"",'Blind Review'!$V$35,"")</x:f>
        <x:v>仅3个要点，且“Covers all of your skincare needs”违反事实边界；需要重写并补足Listing结构。</x:v>
      </x:c>
    </x:row>
    <x:row r="36" ht="42" customHeight="1">
      <x:c r="A36" s="53" t="str">
        <x:f>'Blind Review'!$B$36</x:f>
        <x:v>G017-A</x:v>
      </x:c>
      <x:c r="B36" s="53" t="str">
        <x:f>'Blind Review'!$C$36</x:f>
        <x:v>G017</x:v>
      </x:c>
      <x:c r="C36" s="53" t="str">
        <x:f>'Blind Review'!$D$36</x:f>
        <x:v>MV-CREAM-001</x:v>
      </x:c>
      <x:c r="D36" s="53" t="str">
        <x:f>'Blind Review'!$E$36</x:f>
        <x:v>en-US</x:v>
      </x:c>
      <x:c r="E36" s="53" t="str">
        <x:f>'Blind Review'!$F$36</x:f>
        <x:v>product_listing</x:v>
      </x:c>
      <x:c r="F36" s="53" t="str">
        <x:f>'Blind Review'!$G$36</x:f>
        <x:v>A</x:v>
      </x:c>
      <x:c r="G36" s="53" t="str">
        <x:f>IF(OR('Blind Review'!$Y$36="Reviewed",'Blind Review'!$Y$36="Failure"),'Blind Review'!$I$36,"")</x:f>
        <x:v>Fail</x:v>
      </x:c>
      <x:c r="H36" s="59" t="n">
        <x:f>IF(OR('Blind Review'!$Y$36="Reviewed",'Blind Review'!$Y$36="Failure"),'Blind Review'!$X$36,"")</x:f>
        <x:v>2.857142857142857</x:v>
      </x:c>
      <x:c r="I36" s="53" t="n">
        <x:f>IF(OR('Blind Review'!$Y$36="Reviewed",'Blind Review'!$Y$36="Failure"),'Blind Review'!$P$36,"")</x:f>
        <x:v>2</x:v>
      </x:c>
      <x:c r="J36" s="53" t="n">
        <x:f>IF(OR('Blind Review'!$Y$36="Reviewed",'Blind Review'!$Y$36="Failure"),'Blind Review'!$Q$36,"")</x:f>
        <x:v>4</x:v>
      </x:c>
      <x:c r="K36" s="53" t="n">
        <x:f>IF(OR('Blind Review'!$Y$36="Reviewed",'Blind Review'!$Y$36="Failure"),'Blind Review'!$R$36,"")</x:f>
        <x:v>7</x:v>
      </x:c>
      <x:c r="L36" s="53" t="str">
        <x:f>'Blind Review'!$Y$36</x:f>
        <x:v>Failure</x:v>
      </x:c>
      <x:c r="M36" s="53" t="str">
        <x:f>IF('Blind Review'!$W$36&lt;&gt;"",'Blind Review'!$W$36,"")</x:f>
        <x:v>Unsupported packaging; Platform structure</x:v>
      </x:c>
      <x:c r="N36" s="53" t="str">
        <x:f>IF('Blind Review'!$V$36&lt;&gt;"",'Blind Review'!$V$36,"")</x:f>
        <x:v>仅3个要点，不符合Listing最低结构；PP罐与内盖未获事实参考支持，需删除或核验。</x:v>
      </x:c>
    </x:row>
    <x:row r="37" ht="42" customHeight="1">
      <x:c r="A37" s="53" t="str">
        <x:f>'Blind Review'!$B$37</x:f>
        <x:v>G017-B</x:v>
      </x:c>
      <x:c r="B37" s="53" t="str">
        <x:f>'Blind Review'!$C$37</x:f>
        <x:v>G017</x:v>
      </x:c>
      <x:c r="C37" s="53" t="str">
        <x:f>'Blind Review'!$D$37</x:f>
        <x:v>MV-CREAM-001</x:v>
      </x:c>
      <x:c r="D37" s="53" t="str">
        <x:f>'Blind Review'!$E$37</x:f>
        <x:v>en-US</x:v>
      </x:c>
      <x:c r="E37" s="53" t="str">
        <x:f>'Blind Review'!$F$37</x:f>
        <x:v>product_listing</x:v>
      </x:c>
      <x:c r="F37" s="53" t="str">
        <x:f>'Blind Review'!$G$37</x:f>
        <x:v>B</x:v>
      </x:c>
      <x:c r="G37" s="53" t="str">
        <x:f>IF(OR('Blind Review'!$Y$37="Reviewed",'Blind Review'!$Y$37="Failure"),'Blind Review'!$I$37,"")</x:f>
        <x:v>Fail</x:v>
      </x:c>
      <x:c r="H37" s="59" t="n">
        <x:f>IF(OR('Blind Review'!$Y$37="Reviewed",'Blind Review'!$Y$37="Failure"),'Blind Review'!$X$37,"")</x:f>
        <x:v>4</x:v>
      </x:c>
      <x:c r="I37" s="53" t="n">
        <x:f>IF(OR('Blind Review'!$Y$37="Reviewed",'Blind Review'!$Y$37="Failure"),'Blind Review'!$P$37,"")</x:f>
        <x:v>2</x:v>
      </x:c>
      <x:c r="J37" s="53" t="n">
        <x:f>IF(OR('Blind Review'!$Y$37="Reviewed",'Blind Review'!$Y$37="Failure"),'Blind Review'!$Q$37,"")</x:f>
        <x:v>2</x:v>
      </x:c>
      <x:c r="K37" s="53" t="n">
        <x:f>IF(OR('Blind Review'!$Y$37="Reviewed",'Blind Review'!$Y$37="Failure"),'Blind Review'!$R$37,"")</x:f>
        <x:v>6</x:v>
      </x:c>
      <x:c r="L37" s="53" t="str">
        <x:f>'Blind Review'!$Y$37</x:f>
        <x:v>Failure</x:v>
      </x:c>
      <x:c r="M37" s="53" t="str">
        <x:f>IF('Blind Review'!$W$37&lt;&gt;"",'Blind Review'!$W$37,"")</x:f>
        <x:v>Unsupported packaging</x:v>
      </x:c>
      <x:c r="N37" s="53" t="str">
        <x:f>IF('Blind Review'!$V$37&lt;&gt;"",'Blind Review'!$V$37,"")</x:f>
        <x:v>内容结构和语言优秀，但PP罐与内盖未获事实参考支持；修正包装陈述并补AI字段后可发布。</x:v>
      </x:c>
    </x:row>
    <x:row r="38" ht="42" customHeight="1">
      <x:c r="A38" s="53" t="str">
        <x:f>'Blind Review'!$B$38</x:f>
        <x:v>G018-A</x:v>
      </x:c>
      <x:c r="B38" s="53" t="str">
        <x:f>'Blind Review'!$C$38</x:f>
        <x:v>G018</x:v>
      </x:c>
      <x:c r="C38" s="53" t="str">
        <x:f>'Blind Review'!$D$38</x:f>
        <x:v>MV-SERUM-001</x:v>
      </x:c>
      <x:c r="D38" s="53" t="str">
        <x:f>'Blind Review'!$E$38</x:f>
        <x:v>en-US</x:v>
      </x:c>
      <x:c r="E38" s="53" t="str">
        <x:f>'Blind Review'!$F$38</x:f>
        <x:v>product_listing</x:v>
      </x:c>
      <x:c r="F38" s="53" t="str">
        <x:f>'Blind Review'!$G$38</x:f>
        <x:v>A</x:v>
      </x:c>
      <x:c r="G38" s="53" t="str">
        <x:f>IF(OR('Blind Review'!$Y$38="Reviewed",'Blind Review'!$Y$38="Failure"),'Blind Review'!$I$38,"")</x:f>
        <x:v>Fail</x:v>
      </x:c>
      <x:c r="H38" s="59" t="n">
        <x:f>IF(OR('Blind Review'!$Y$38="Reviewed",'Blind Review'!$Y$38="Failure"),'Blind Review'!$X$38,"")</x:f>
        <x:v>2.857142857142857</x:v>
      </x:c>
      <x:c r="I38" s="53" t="n">
        <x:f>IF(OR('Blind Review'!$Y$38="Reviewed",'Blind Review'!$Y$38="Failure"),'Blind Review'!$P$38,"")</x:f>
        <x:v>2</x:v>
      </x:c>
      <x:c r="J38" s="53" t="n">
        <x:f>IF(OR('Blind Review'!$Y$38="Reviewed",'Blind Review'!$Y$38="Failure"),'Blind Review'!$Q$38,"")</x:f>
        <x:v>4</x:v>
      </x:c>
      <x:c r="K38" s="53" t="n">
        <x:f>IF(OR('Blind Review'!$Y$38="Reviewed",'Blind Review'!$Y$38="Failure"),'Blind Review'!$R$38,"")</x:f>
        <x:v>7</x:v>
      </x:c>
      <x:c r="L38" s="53" t="str">
        <x:f>'Blind Review'!$Y$38</x:f>
        <x:v>Failure</x:v>
      </x:c>
      <x:c r="M38" s="53" t="str">
        <x:f>IF('Blind Review'!$W$38&lt;&gt;"",'Blind Review'!$W$38,"")</x:f>
        <x:v>Unsupported packaging; Platform structure</x:v>
      </x:c>
      <x:c r="N38" s="53" t="str">
        <x:f>IF('Blind Review'!$V$38&lt;&gt;"",'Blind Review'!$V$38,"")</x:f>
        <x:v>仅3个要点，且不透明PP泵瓶材质未获事实参考支持；需补足结构、删除或核验包装。</x:v>
      </x:c>
    </x:row>
    <x:row r="39" ht="42" customHeight="1">
      <x:c r="A39" s="53" t="str">
        <x:f>'Blind Review'!$B$39</x:f>
        <x:v>G018-B</x:v>
      </x:c>
      <x:c r="B39" s="53" t="str">
        <x:f>'Blind Review'!$C$39</x:f>
        <x:v>G018</x:v>
      </x:c>
      <x:c r="C39" s="53" t="str">
        <x:f>'Blind Review'!$D$39</x:f>
        <x:v>MV-SERUM-001</x:v>
      </x:c>
      <x:c r="D39" s="53" t="str">
        <x:f>'Blind Review'!$E$39</x:f>
        <x:v>en-US</x:v>
      </x:c>
      <x:c r="E39" s="53" t="str">
        <x:f>'Blind Review'!$F$39</x:f>
        <x:v>product_listing</x:v>
      </x:c>
      <x:c r="F39" s="53" t="str">
        <x:f>'Blind Review'!$G$39</x:f>
        <x:v>B</x:v>
      </x:c>
      <x:c r="G39" s="53" t="str">
        <x:f>IF(OR('Blind Review'!$Y$39="Reviewed",'Blind Review'!$Y$39="Failure"),'Blind Review'!$I$39,"")</x:f>
        <x:v>Fail</x:v>
      </x:c>
      <x:c r="H39" s="59" t="n">
        <x:f>IF(OR('Blind Review'!$Y$39="Reviewed",'Blind Review'!$Y$39="Failure"),'Blind Review'!$X$39,"")</x:f>
        <x:v>3.857142857142857</x:v>
      </x:c>
      <x:c r="I39" s="53" t="n">
        <x:f>IF(OR('Blind Review'!$Y$39="Reviewed",'Blind Review'!$Y$39="Failure"),'Blind Review'!$P$39,"")</x:f>
        <x:v>2</x:v>
      </x:c>
      <x:c r="J39" s="53" t="n">
        <x:f>IF(OR('Blind Review'!$Y$39="Reviewed",'Blind Review'!$Y$39="Failure"),'Blind Review'!$Q$39,"")</x:f>
        <x:v>3</x:v>
      </x:c>
      <x:c r="K39" s="53" t="n">
        <x:f>IF(OR('Blind Review'!$Y$39="Reviewed",'Blind Review'!$Y$39="Failure"),'Blind Review'!$R$39,"")</x:f>
        <x:v>6</x:v>
      </x:c>
      <x:c r="L39" s="53" t="str">
        <x:f>'Blind Review'!$Y$39</x:f>
        <x:v>Failure</x:v>
      </x:c>
      <x:c r="M39" s="53" t="str">
        <x:f>IF('Blind Review'!$W$39&lt;&gt;"",'Blind Review'!$W$39,"")</x:f>
        <x:v>Unsupported packaging; Language issue</x:v>
      </x:c>
      <x:c r="N39" s="53" t="str">
        <x:f>IF('Blind Review'!$V$39&lt;&gt;"",'Blind Review'!$V$39,"")</x:f>
        <x:v>Listing信息完整，但“a opaque”有语法错误，且不透明PP瓶材质无事实依据；需修正后发布。</x:v>
      </x:c>
    </x:row>
    <x:row r="40" ht="42" customHeight="1">
      <x:c r="A40" s="53" t="str">
        <x:f>'Blind Review'!$B$40</x:f>
        <x:v>G019-A</x:v>
      </x:c>
      <x:c r="B40" s="53" t="str">
        <x:f>'Blind Review'!$C$40</x:f>
        <x:v>G019</x:v>
      </x:c>
      <x:c r="C40" s="53" t="str">
        <x:f>'Blind Review'!$D$40</x:f>
        <x:v>MV-HAND-001</x:v>
      </x:c>
      <x:c r="D40" s="53" t="str">
        <x:f>'Blind Review'!$E$40</x:f>
        <x:v>en-US</x:v>
      </x:c>
      <x:c r="E40" s="53" t="str">
        <x:f>'Blind Review'!$F$40</x:f>
        <x:v>social_ad_copy</x:v>
      </x:c>
      <x:c r="F40" s="53" t="str">
        <x:f>'Blind Review'!$G$40</x:f>
        <x:v>A</x:v>
      </x:c>
      <x:c r="G40" s="53" t="str">
        <x:f>IF(OR('Blind Review'!$Y$40="Reviewed",'Blind Review'!$Y$40="Failure"),'Blind Review'!$I$40,"")</x:f>
        <x:v>Pass</x:v>
      </x:c>
      <x:c r="H40" s="59" t="n">
        <x:f>IF(OR('Blind Review'!$Y$40="Reviewed",'Blind Review'!$Y$40="Failure"),'Blind Review'!$X$40,"")</x:f>
        <x:v>4.285714285714286</x:v>
      </x:c>
      <x:c r="I40" s="53" t="n">
        <x:f>IF(OR('Blind Review'!$Y$40="Reviewed",'Blind Review'!$Y$40="Failure"),'Blind Review'!$P$40,"")</x:f>
        <x:v>4</x:v>
      </x:c>
      <x:c r="J40" s="53" t="n">
        <x:f>IF(OR('Blind Review'!$Y$40="Reviewed",'Blind Review'!$Y$40="Failure"),'Blind Review'!$Q$40,"")</x:f>
        <x:v>1</x:v>
      </x:c>
      <x:c r="K40" s="53" t="n">
        <x:f>IF(OR('Blind Review'!$Y$40="Reviewed",'Blind Review'!$Y$40="Failure"),'Blind Review'!$R$40,"")</x:f>
        <x:v>4</x:v>
      </x:c>
      <x:c r="L40" s="53" t="str">
        <x:f>'Blind Review'!$Y$40</x:f>
        <x:v>Reviewed</x:v>
      </x:c>
      <x:c r="M40" s="53" t="str">
        <x:f>IF('Blind Review'!$W$40&lt;&gt;"",'Blind Review'!$W$40,"")</x:f>
        <x:v>None</x:v>
      </x:c>
      <x:c r="N40" s="53" t="str">
        <x:f>IF('Blind Review'!$V$40&lt;&gt;"",'Blind Review'!$V$40,"")</x:f>
        <x:v>日常洗手场景明确，功效限定与用法准确，CTA自然；补充平台和AI使用状态即可。</x:v>
      </x:c>
    </x:row>
    <x:row r="41" ht="42" customHeight="1">
      <x:c r="A41" s="53" t="str">
        <x:f>'Blind Review'!$B$41</x:f>
        <x:v>G019-B</x:v>
      </x:c>
      <x:c r="B41" s="53" t="str">
        <x:f>'Blind Review'!$C$41</x:f>
        <x:v>G019</x:v>
      </x:c>
      <x:c r="C41" s="53" t="str">
        <x:f>'Blind Review'!$D$41</x:f>
        <x:v>MV-HAND-001</x:v>
      </x:c>
      <x:c r="D41" s="53" t="str">
        <x:f>'Blind Review'!$E$41</x:f>
        <x:v>en-US</x:v>
      </x:c>
      <x:c r="E41" s="53" t="str">
        <x:f>'Blind Review'!$F$41</x:f>
        <x:v>social_ad_copy</x:v>
      </x:c>
      <x:c r="F41" s="53" t="str">
        <x:f>'Blind Review'!$G$41</x:f>
        <x:v>B</x:v>
      </x:c>
      <x:c r="G41" s="53" t="str">
        <x:f>IF(OR('Blind Review'!$Y$41="Reviewed",'Blind Review'!$Y$41="Failure"),'Blind Review'!$I$41,"")</x:f>
        <x:v>Fail</x:v>
      </x:c>
      <x:c r="H41" s="59" t="n">
        <x:f>IF(OR('Blind Review'!$Y$41="Reviewed",'Blind Review'!$Y$41="Failure"),'Blind Review'!$X$41,"")</x:f>
        <x:v>2.5714285714285716</x:v>
      </x:c>
      <x:c r="I41" s="53" t="n">
        <x:f>IF(OR('Blind Review'!$Y$41="Reviewed",'Blind Review'!$Y$41="Failure"),'Blind Review'!$P$41,"")</x:f>
        <x:v>2</x:v>
      </x:c>
      <x:c r="J41" s="53" t="n">
        <x:f>IF(OR('Blind Review'!$Y$41="Reviewed",'Blind Review'!$Y$41="Failure"),'Blind Review'!$Q$41,"")</x:f>
        <x:v>4</x:v>
      </x:c>
      <x:c r="K41" s="53" t="n">
        <x:f>IF(OR('Blind Review'!$Y$41="Reviewed",'Blind Review'!$Y$41="Failure"),'Blind Review'!$R$41,"")</x:f>
        <x:v>7</x:v>
      </x:c>
      <x:c r="L41" s="53" t="str">
        <x:f>'Blind Review'!$Y$41</x:f>
        <x:v>Failure</x:v>
      </x:c>
      <x:c r="M41" s="53" t="str">
        <x:f>IF('Blind Review'!$W$41&lt;&gt;"",'Blind Review'!$W$41,"")</x:f>
        <x:v>Prohibited claim; Packaging mismatch</x:v>
      </x:c>
      <x:c r="N41" s="53" t="str">
        <x:f>IF('Blind Review'!$V$41&lt;&gt;"",'Blind Review'!$V$41,"")</x:f>
        <x:v>“Repairs dry hands”越界，铝管材质也与事实参考不一致；需要重写Hook并修正包装信息。</x:v>
      </x:c>
    </x:row>
    <x:row r="42" ht="42" customHeight="1">
      <x:c r="A42" s="53" t="str">
        <x:f>'Blind Review'!$B$42</x:f>
        <x:v>G020-A</x:v>
      </x:c>
      <x:c r="B42" s="53" t="str">
        <x:f>'Blind Review'!$C$42</x:f>
        <x:v>G020</x:v>
      </x:c>
      <x:c r="C42" s="53" t="str">
        <x:f>'Blind Review'!$D$42</x:f>
        <x:v>MV-CLEAN-001</x:v>
      </x:c>
      <x:c r="D42" s="53" t="str">
        <x:f>'Blind Review'!$E$42</x:f>
        <x:v>es-MX</x:v>
      </x:c>
      <x:c r="E42" s="53" t="str">
        <x:f>'Blind Review'!$F$42</x:f>
        <x:v>product_listing</x:v>
      </x:c>
      <x:c r="F42" s="53" t="str">
        <x:f>'Blind Review'!$G$42</x:f>
        <x:v>A</x:v>
      </x:c>
      <x:c r="G42" s="53" t="str">
        <x:f>IF(OR('Blind Review'!$Y$42="Reviewed",'Blind Review'!$Y$42="Failure"),'Blind Review'!$I$42,"")</x:f>
        <x:v>Fail</x:v>
      </x:c>
      <x:c r="H42" s="59" t="n">
        <x:f>IF(OR('Blind Review'!$Y$42="Reviewed",'Blind Review'!$Y$42="Failure"),'Blind Review'!$X$42,"")</x:f>
        <x:v>2.857142857142857</x:v>
      </x:c>
      <x:c r="I42" s="53" t="n">
        <x:f>IF(OR('Blind Review'!$Y$42="Reviewed",'Blind Review'!$Y$42="Failure"),'Blind Review'!$P$42,"")</x:f>
        <x:v>2</x:v>
      </x:c>
      <x:c r="J42" s="53" t="n">
        <x:f>IF(OR('Blind Review'!$Y$42="Reviewed",'Blind Review'!$Y$42="Failure"),'Blind Review'!$Q$42,"")</x:f>
        <x:v>4</x:v>
      </x:c>
      <x:c r="K42" s="53" t="n">
        <x:f>IF(OR('Blind Review'!$Y$42="Reviewed",'Blind Review'!$Y$42="Failure"),'Blind Review'!$R$42,"")</x:f>
        <x:v>7</x:v>
      </x:c>
      <x:c r="L42" s="53" t="str">
        <x:f>'Blind Review'!$Y$42</x:f>
        <x:v>Failure</x:v>
      </x:c>
      <x:c r="M42" s="53" t="str">
        <x:f>IF('Blind Review'!$W$42&lt;&gt;"",'Blind Review'!$W$42,"")</x:f>
        <x:v>Unsupported packaging; Platform structure</x:v>
      </x:c>
      <x:c r="N42" s="53" t="str">
        <x:f>IF('Blind Review'!$V$42&lt;&gt;"",'Blind Review'!$V$42,"")</x:f>
        <x:v>仅3个要点，PET瓶材质未获事实参考支持；需补足Listing结构并核验或删除包装材质。</x:v>
      </x:c>
    </x:row>
    <x:row r="43" ht="42" customHeight="1">
      <x:c r="A43" s="53" t="str">
        <x:f>'Blind Review'!$B$43</x:f>
        <x:v>G020-B</x:v>
      </x:c>
      <x:c r="B43" s="53" t="str">
        <x:f>'Blind Review'!$C$43</x:f>
        <x:v>G020</x:v>
      </x:c>
      <x:c r="C43" s="53" t="str">
        <x:f>'Blind Review'!$D$43</x:f>
        <x:v>MV-CLEAN-001</x:v>
      </x:c>
      <x:c r="D43" s="53" t="str">
        <x:f>'Blind Review'!$E$43</x:f>
        <x:v>es-MX</x:v>
      </x:c>
      <x:c r="E43" s="53" t="str">
        <x:f>'Blind Review'!$F$43</x:f>
        <x:v>product_listing</x:v>
      </x:c>
      <x:c r="F43" s="53" t="str">
        <x:f>'Blind Review'!$G$43</x:f>
        <x:v>B</x:v>
      </x:c>
      <x:c r="G43" s="53" t="str">
        <x:f>IF(OR('Blind Review'!$Y$43="Reviewed",'Blind Review'!$Y$43="Failure"),'Blind Review'!$I$43,"")</x:f>
        <x:v>Fail</x:v>
      </x:c>
      <x:c r="H43" s="59" t="n">
        <x:f>IF(OR('Blind Review'!$Y$43="Reviewed",'Blind Review'!$Y$43="Failure"),'Blind Review'!$X$43,"")</x:f>
        <x:v>4.142857142857143</x:v>
      </x:c>
      <x:c r="I43" s="53" t="n">
        <x:f>IF(OR('Blind Review'!$Y$43="Reviewed",'Blind Review'!$Y$43="Failure"),'Blind Review'!$P$43,"")</x:f>
        <x:v>2</x:v>
      </x:c>
      <x:c r="J43" s="53" t="n">
        <x:f>IF(OR('Blind Review'!$Y$43="Reviewed",'Blind Review'!$Y$43="Failure"),'Blind Review'!$Q$43,"")</x:f>
        <x:v>2</x:v>
      </x:c>
      <x:c r="K43" s="53" t="n">
        <x:f>IF(OR('Blind Review'!$Y$43="Reviewed",'Blind Review'!$Y$43="Failure"),'Blind Review'!$R$43,"")</x:f>
        <x:v>6</x:v>
      </x:c>
      <x:c r="L43" s="53" t="str">
        <x:f>'Blind Review'!$Y$43</x:f>
        <x:v>Failure</x:v>
      </x:c>
      <x:c r="M43" s="53" t="str">
        <x:f>IF('Blind Review'!$W$43&lt;&gt;"",'Blind Review'!$W$43,"")</x:f>
        <x:v>Unsupported packaging</x:v>
      </x:c>
      <x:c r="N43" s="53" t="str">
        <x:f>IF('Blind Review'!$V$43&lt;&gt;"",'Blind Review'!$V$43,"")</x:f>
        <x:v>西语自然且信息完整，但PET瓶材质无事实参考依据；删除或核验材质并补结构化AI字段。</x:v>
      </x:c>
    </x:row>
    <x:row r="44" ht="42" customHeight="1">
      <x:c r="A44" s="53" t="str">
        <x:f>'Blind Review'!$B$44</x:f>
        <x:v>G021-A</x:v>
      </x:c>
      <x:c r="B44" s="53" t="str">
        <x:f>'Blind Review'!$C$44</x:f>
        <x:v>G021</x:v>
      </x:c>
      <x:c r="C44" s="53" t="str">
        <x:f>'Blind Review'!$D$44</x:f>
        <x:v>MV-CLEAN-001</x:v>
      </x:c>
      <x:c r="D44" s="53" t="str">
        <x:f>'Blind Review'!$E$44</x:f>
        <x:v>en-US</x:v>
      </x:c>
      <x:c r="E44" s="53" t="str">
        <x:f>'Blind Review'!$F$44</x:f>
        <x:v>product_listing</x:v>
      </x:c>
      <x:c r="F44" s="53" t="str">
        <x:f>'Blind Review'!$G$44</x:f>
        <x:v>A</x:v>
      </x:c>
      <x:c r="G44" s="53" t="str">
        <x:f>IF(OR('Blind Review'!$Y$44="Reviewed",'Blind Review'!$Y$44="Failure"),'Blind Review'!$I$44,"")</x:f>
        <x:v>Fail</x:v>
      </x:c>
      <x:c r="H44" s="59" t="n">
        <x:f>IF(OR('Blind Review'!$Y$44="Reviewed",'Blind Review'!$Y$44="Failure"),'Blind Review'!$X$44,"")</x:f>
        <x:v>2.857142857142857</x:v>
      </x:c>
      <x:c r="I44" s="53" t="n">
        <x:f>IF(OR('Blind Review'!$Y$44="Reviewed",'Blind Review'!$Y$44="Failure"),'Blind Review'!$P$44,"")</x:f>
        <x:v>2</x:v>
      </x:c>
      <x:c r="J44" s="53" t="n">
        <x:f>IF(OR('Blind Review'!$Y$44="Reviewed",'Blind Review'!$Y$44="Failure"),'Blind Review'!$Q$44,"")</x:f>
        <x:v>4</x:v>
      </x:c>
      <x:c r="K44" s="53" t="n">
        <x:f>IF(OR('Blind Review'!$Y$44="Reviewed",'Blind Review'!$Y$44="Failure"),'Blind Review'!$R$44,"")</x:f>
        <x:v>7</x:v>
      </x:c>
      <x:c r="L44" s="53" t="str">
        <x:f>'Blind Review'!$Y$44</x:f>
        <x:v>Failure</x:v>
      </x:c>
      <x:c r="M44" s="53" t="str">
        <x:f>IF('Blind Review'!$W$44&lt;&gt;"",'Blind Review'!$W$44,"")</x:f>
        <x:v>Unsupported packaging; Platform structure</x:v>
      </x:c>
      <x:c r="N44" s="53" t="str">
        <x:f>IF('Blind Review'!$V$44&lt;&gt;"",'Blind Review'!$V$44,"")</x:f>
        <x:v>仅3个要点，PET瓶材质未获事实参考支持；同时需要润色用法并补全Listing结构。</x:v>
      </x:c>
    </x:row>
    <x:row r="45" ht="42" customHeight="1">
      <x:c r="A45" s="53" t="str">
        <x:f>'Blind Review'!$B$45</x:f>
        <x:v>G021-B</x:v>
      </x:c>
      <x:c r="B45" s="53" t="str">
        <x:f>'Blind Review'!$C$45</x:f>
        <x:v>G021</x:v>
      </x:c>
      <x:c r="C45" s="53" t="str">
        <x:f>'Blind Review'!$D$45</x:f>
        <x:v>MV-CLEAN-001</x:v>
      </x:c>
      <x:c r="D45" s="53" t="str">
        <x:f>'Blind Review'!$E$45</x:f>
        <x:v>en-US</x:v>
      </x:c>
      <x:c r="E45" s="53" t="str">
        <x:f>'Blind Review'!$F$45</x:f>
        <x:v>product_listing</x:v>
      </x:c>
      <x:c r="F45" s="53" t="str">
        <x:f>'Blind Review'!$G$45</x:f>
        <x:v>B</x:v>
      </x:c>
      <x:c r="G45" s="53" t="str">
        <x:f>IF(OR('Blind Review'!$Y$45="Reviewed",'Blind Review'!$Y$45="Failure"),'Blind Review'!$I$45,"")</x:f>
        <x:v>Fail</x:v>
      </x:c>
      <x:c r="H45" s="59" t="n">
        <x:f>IF(OR('Blind Review'!$Y$45="Reviewed",'Blind Review'!$Y$45="Failure"),'Blind Review'!$X$45,"")</x:f>
        <x:v>4</x:v>
      </x:c>
      <x:c r="I45" s="53" t="n">
        <x:f>IF(OR('Blind Review'!$Y$45="Reviewed",'Blind Review'!$Y$45="Failure"),'Blind Review'!$P$45,"")</x:f>
        <x:v>2</x:v>
      </x:c>
      <x:c r="J45" s="53" t="n">
        <x:f>IF(OR('Blind Review'!$Y$45="Reviewed",'Blind Review'!$Y$45="Failure"),'Blind Review'!$Q$45,"")</x:f>
        <x:v>2</x:v>
      </x:c>
      <x:c r="K45" s="53" t="n">
        <x:f>IF(OR('Blind Review'!$Y$45="Reviewed",'Blind Review'!$Y$45="Failure"),'Blind Review'!$R$45,"")</x:f>
        <x:v>6</x:v>
      </x:c>
      <x:c r="L45" s="53" t="str">
        <x:f>'Blind Review'!$Y$45</x:f>
        <x:v>Failure</x:v>
      </x:c>
      <x:c r="M45" s="53" t="str">
        <x:f>IF('Blind Review'!$W$45&lt;&gt;"",'Blind Review'!$W$45,"")</x:f>
        <x:v>Unsupported packaging</x:v>
      </x:c>
      <x:c r="N45" s="53" t="str">
        <x:f>IF('Blind Review'!$V$45&lt;&gt;"",'Blind Review'!$V$45,"")</x:f>
        <x:v>内容完整自然、利益点审慎，但PET瓶材质无事实参考依据；修正包装并补AI字段。</x:v>
      </x:c>
    </x:row>
    <x:row r="46" ht="42" customHeight="1">
      <x:c r="A46" s="53" t="str">
        <x:f>'Blind Review'!$B$46</x:f>
        <x:v>G022-A</x:v>
      </x:c>
      <x:c r="B46" s="53" t="str">
        <x:f>'Blind Review'!$C$46</x:f>
        <x:v>G022</x:v>
      </x:c>
      <x:c r="C46" s="53" t="str">
        <x:f>'Blind Review'!$D$46</x:f>
        <x:v>MV-SERUM-001</x:v>
      </x:c>
      <x:c r="D46" s="53" t="str">
        <x:f>'Blind Review'!$E$46</x:f>
        <x:v>es-MX</x:v>
      </x:c>
      <x:c r="E46" s="53" t="str">
        <x:f>'Blind Review'!$F$46</x:f>
        <x:v>product_listing</x:v>
      </x:c>
      <x:c r="F46" s="53" t="str">
        <x:f>'Blind Review'!$G$46</x:f>
        <x:v>A</x:v>
      </x:c>
      <x:c r="G46" s="53" t="str">
        <x:f>IF(OR('Blind Review'!$Y$46="Reviewed",'Blind Review'!$Y$46="Failure"),'Blind Review'!$I$46,"")</x:f>
        <x:v>Fail</x:v>
      </x:c>
      <x:c r="H46" s="59" t="n">
        <x:f>IF(OR('Blind Review'!$Y$46="Reviewed",'Blind Review'!$Y$46="Failure"),'Blind Review'!$X$46,"")</x:f>
        <x:v>2.7142857142857144</x:v>
      </x:c>
      <x:c r="I46" s="53" t="n">
        <x:f>IF(OR('Blind Review'!$Y$46="Reviewed",'Blind Review'!$Y$46="Failure"),'Blind Review'!$P$46,"")</x:f>
        <x:v>2</x:v>
      </x:c>
      <x:c r="J46" s="53" t="n">
        <x:f>IF(OR('Blind Review'!$Y$46="Reviewed",'Blind Review'!$Y$46="Failure"),'Blind Review'!$Q$46,"")</x:f>
        <x:v>4</x:v>
      </x:c>
      <x:c r="K46" s="53" t="n">
        <x:f>IF(OR('Blind Review'!$Y$46="Reviewed",'Blind Review'!$Y$46="Failure"),'Blind Review'!$R$46,"")</x:f>
        <x:v>7</x:v>
      </x:c>
      <x:c r="L46" s="53" t="str">
        <x:f>'Blind Review'!$Y$46</x:f>
        <x:v>Failure</x:v>
      </x:c>
      <x:c r="M46" s="53" t="str">
        <x:f>IF('Blind Review'!$W$46&lt;&gt;"",'Blind Review'!$W$46,"")</x:f>
        <x:v>Unsupported packaging; Language issue; Platform structure</x:v>
      </x:c>
      <x:c r="N46" s="53" t="str">
        <x:f>IF('Blind Review'!$V$46&lt;&gt;"",'Blind Review'!$V$46,"")</x:f>
        <x:v>仅3个要点，“bombea”等表述生硬；不透明PP瓶材质无事实依据，需结构和语言双重修改。</x:v>
      </x:c>
    </x:row>
    <x:row r="47" ht="42" customHeight="1">
      <x:c r="A47" s="53" t="str">
        <x:f>'Blind Review'!$B$47</x:f>
        <x:v>G022-B</x:v>
      </x:c>
      <x:c r="B47" s="53" t="str">
        <x:f>'Blind Review'!$C$47</x:f>
        <x:v>G022</x:v>
      </x:c>
      <x:c r="C47" s="53" t="str">
        <x:f>'Blind Review'!$D$47</x:f>
        <x:v>MV-SERUM-001</x:v>
      </x:c>
      <x:c r="D47" s="53" t="str">
        <x:f>'Blind Review'!$E$47</x:f>
        <x:v>es-MX</x:v>
      </x:c>
      <x:c r="E47" s="53" t="str">
        <x:f>'Blind Review'!$F$47</x:f>
        <x:v>product_listing</x:v>
      </x:c>
      <x:c r="F47" s="53" t="str">
        <x:f>'Blind Review'!$G$47</x:f>
        <x:v>B</x:v>
      </x:c>
      <x:c r="G47" s="53" t="str">
        <x:f>IF(OR('Blind Review'!$Y$47="Reviewed",'Blind Review'!$Y$47="Failure"),'Blind Review'!$I$47,"")</x:f>
        <x:v>Fail</x:v>
      </x:c>
      <x:c r="H47" s="59" t="n">
        <x:f>IF(OR('Blind Review'!$Y$47="Reviewed",'Blind Review'!$Y$47="Failure"),'Blind Review'!$X$47,"")</x:f>
        <x:v>4.142857142857143</x:v>
      </x:c>
      <x:c r="I47" s="53" t="n">
        <x:f>IF(OR('Blind Review'!$Y$47="Reviewed",'Blind Review'!$Y$47="Failure"),'Blind Review'!$P$47,"")</x:f>
        <x:v>2</x:v>
      </x:c>
      <x:c r="J47" s="53" t="n">
        <x:f>IF(OR('Blind Review'!$Y$47="Reviewed",'Blind Review'!$Y$47="Failure"),'Blind Review'!$Q$47,"")</x:f>
        <x:v>2</x:v>
      </x:c>
      <x:c r="K47" s="53" t="n">
        <x:f>IF(OR('Blind Review'!$Y$47="Reviewed",'Blind Review'!$Y$47="Failure"),'Blind Review'!$R$47,"")</x:f>
        <x:v>6</x:v>
      </x:c>
      <x:c r="L47" s="53" t="str">
        <x:f>'Blind Review'!$Y$47</x:f>
        <x:v>Failure</x:v>
      </x:c>
      <x:c r="M47" s="53" t="str">
        <x:f>IF('Blind Review'!$W$47&lt;&gt;"",'Blind Review'!$W$47,"")</x:f>
        <x:v>Unsupported packaging</x:v>
      </x:c>
      <x:c r="N47" s="53" t="str">
        <x:f>IF('Blind Review'!$V$47&lt;&gt;"",'Blind Review'!$V$47,"")</x:f>
        <x:v>Listing结构与西语质量良好，但不透明PP泵瓶材质未获事实参考支持；需修正包装信息。</x:v>
      </x:c>
    </x:row>
    <x:row r="48" ht="42" customHeight="1">
      <x:c r="A48" s="53" t="str">
        <x:f>'Blind Review'!$B$48</x:f>
        <x:v>G023-A</x:v>
      </x:c>
      <x:c r="B48" s="53" t="str">
        <x:f>'Blind Review'!$C$48</x:f>
        <x:v>G023</x:v>
      </x:c>
      <x:c r="C48" s="53" t="str">
        <x:f>'Blind Review'!$D$48</x:f>
        <x:v>MV-SERUM-001</x:v>
      </x:c>
      <x:c r="D48" s="53" t="str">
        <x:f>'Blind Review'!$E$48</x:f>
        <x:v>en-US</x:v>
      </x:c>
      <x:c r="E48" s="53" t="str">
        <x:f>'Blind Review'!$F$48</x:f>
        <x:v>social_ad_copy</x:v>
      </x:c>
      <x:c r="F48" s="53" t="str">
        <x:f>'Blind Review'!$G$48</x:f>
        <x:v>A</x:v>
      </x:c>
      <x:c r="G48" s="53" t="str">
        <x:f>IF(OR('Blind Review'!$Y$48="Reviewed",'Blind Review'!$Y$48="Failure"),'Blind Review'!$I$48,"")</x:f>
        <x:v>Pass</x:v>
      </x:c>
      <x:c r="H48" s="59" t="n">
        <x:f>IF(OR('Blind Review'!$Y$48="Reviewed",'Blind Review'!$Y$48="Failure"),'Blind Review'!$X$48,"")</x:f>
        <x:v>3.2857142857142856</x:v>
      </x:c>
      <x:c r="I48" s="53" t="n">
        <x:f>IF(OR('Blind Review'!$Y$48="Reviewed",'Blind Review'!$Y$48="Failure"),'Blind Review'!$P$48,"")</x:f>
        <x:v>3</x:v>
      </x:c>
      <x:c r="J48" s="53" t="n">
        <x:f>IF(OR('Blind Review'!$Y$48="Reviewed",'Blind Review'!$Y$48="Failure"),'Blind Review'!$Q$48,"")</x:f>
        <x:v>3</x:v>
      </x:c>
      <x:c r="K48" s="53" t="n">
        <x:f>IF(OR('Blind Review'!$Y$48="Reviewed",'Blind Review'!$Y$48="Failure"),'Blind Review'!$R$48,"")</x:f>
        <x:v>5</x:v>
      </x:c>
      <x:c r="L48" s="53" t="str">
        <x:f>'Blind Review'!$Y$48</x:f>
        <x:v>Reviewed</x:v>
      </x:c>
      <x:c r="M48" s="53" t="str">
        <x:f>IF('Blind Review'!$W$48&lt;&gt;"",'Blind Review'!$W$48,"")</x:f>
        <x:v>None</x:v>
      </x:c>
      <x:c r="N48" s="53" t="str">
        <x:f>IF('Blind Review'!$V$48&lt;&gt;"",'Blind Review'!$V$48,"")</x:f>
        <x:v>主要事实准确，但句首小写和“pump…on face”不够自然，利益点较泛；需语言和平台信息润色。</x:v>
      </x:c>
    </x:row>
    <x:row r="49" ht="42" customHeight="1">
      <x:c r="A49" s="53" t="str">
        <x:f>'Blind Review'!$B$49</x:f>
        <x:v>G023-B</x:v>
      </x:c>
      <x:c r="B49" s="53" t="str">
        <x:f>'Blind Review'!$C$49</x:f>
        <x:v>G023</x:v>
      </x:c>
      <x:c r="C49" s="53" t="str">
        <x:f>'Blind Review'!$D$49</x:f>
        <x:v>MV-SERUM-001</x:v>
      </x:c>
      <x:c r="D49" s="53" t="str">
        <x:f>'Blind Review'!$E$49</x:f>
        <x:v>en-US</x:v>
      </x:c>
      <x:c r="E49" s="53" t="str">
        <x:f>'Blind Review'!$F$49</x:f>
        <x:v>social_ad_copy</x:v>
      </x:c>
      <x:c r="F49" s="53" t="str">
        <x:f>'Blind Review'!$G$49</x:f>
        <x:v>B</x:v>
      </x:c>
      <x:c r="G49" s="53" t="str">
        <x:f>IF(OR('Blind Review'!$Y$49="Reviewed",'Blind Review'!$Y$49="Failure"),'Blind Review'!$I$49,"")</x:f>
        <x:v>Pass</x:v>
      </x:c>
      <x:c r="H49" s="59" t="n">
        <x:f>IF(OR('Blind Review'!$Y$49="Reviewed",'Blind Review'!$Y$49="Failure"),'Blind Review'!$X$49,"")</x:f>
        <x:v>4.285714285714286</x:v>
      </x:c>
      <x:c r="I49" s="53" t="n">
        <x:f>IF(OR('Blind Review'!$Y$49="Reviewed",'Blind Review'!$Y$49="Failure"),'Blind Review'!$P$49,"")</x:f>
        <x:v>4</x:v>
      </x:c>
      <x:c r="J49" s="53" t="n">
        <x:f>IF(OR('Blind Review'!$Y$49="Reviewed",'Blind Review'!$Y$49="Failure"),'Blind Review'!$Q$49,"")</x:f>
        <x:v>1</x:v>
      </x:c>
      <x:c r="K49" s="53" t="n">
        <x:f>IF(OR('Blind Review'!$Y$49="Reviewed",'Blind Review'!$Y$49="Failure"),'Blind Review'!$R$49,"")</x:f>
        <x:v>4</x:v>
      </x:c>
      <x:c r="L49" s="53" t="str">
        <x:f>'Blind Review'!$Y$49</x:f>
        <x:v>Reviewed</x:v>
      </x:c>
      <x:c r="M49" s="53" t="str">
        <x:f>IF('Blind Review'!$W$49&lt;&gt;"",'Blind Review'!$W$49,"")</x:f>
        <x:v>None</x:v>
      </x:c>
      <x:c r="N49" s="53" t="str">
        <x:f>IF('Blind Review'!$V$49&lt;&gt;"",'Blind Review'!$V$49,"")</x:f>
        <x:v>补水定位、成分与用法清晰自然，CTA克制；补充AI使用状态即可。</x:v>
      </x:c>
    </x:row>
    <x:row r="50" ht="42" customHeight="1">
      <x:c r="A50" s="53" t="str">
        <x:f>'Blind Review'!$B$50</x:f>
        <x:v>G024-A</x:v>
      </x:c>
      <x:c r="B50" s="53" t="str">
        <x:f>'Blind Review'!$C$50</x:f>
        <x:v>G024</x:v>
      </x:c>
      <x:c r="C50" s="53" t="str">
        <x:f>'Blind Review'!$D$50</x:f>
        <x:v>MV-CREAM-001</x:v>
      </x:c>
      <x:c r="D50" s="53" t="str">
        <x:f>'Blind Review'!$E$50</x:f>
        <x:v>en-US</x:v>
      </x:c>
      <x:c r="E50" s="53" t="str">
        <x:f>'Blind Review'!$F$50</x:f>
        <x:v>social_ad_copy</x:v>
      </x:c>
      <x:c r="F50" s="53" t="str">
        <x:f>'Blind Review'!$G$50</x:f>
        <x:v>A</x:v>
      </x:c>
      <x:c r="G50" s="53" t="str">
        <x:f>IF(OR('Blind Review'!$Y$50="Reviewed",'Blind Review'!$Y$50="Failure"),'Blind Review'!$I$50,"")</x:f>
        <x:v>Pass</x:v>
      </x:c>
      <x:c r="H50" s="59" t="n">
        <x:f>IF(OR('Blind Review'!$Y$50="Reviewed",'Blind Review'!$Y$50="Failure"),'Blind Review'!$X$50,"")</x:f>
        <x:v>3.2857142857142856</x:v>
      </x:c>
      <x:c r="I50" s="53" t="n">
        <x:f>IF(OR('Blind Review'!$Y$50="Reviewed",'Blind Review'!$Y$50="Failure"),'Blind Review'!$P$50,"")</x:f>
        <x:v>3</x:v>
      </x:c>
      <x:c r="J50" s="53" t="n">
        <x:f>IF(OR('Blind Review'!$Y$50="Reviewed",'Blind Review'!$Y$50="Failure"),'Blind Review'!$Q$50,"")</x:f>
        <x:v>3</x:v>
      </x:c>
      <x:c r="K50" s="53" t="n">
        <x:f>IF(OR('Blind Review'!$Y$50="Reviewed",'Blind Review'!$Y$50="Failure"),'Blind Review'!$R$50,"")</x:f>
        <x:v>5</x:v>
      </x:c>
      <x:c r="L50" s="53" t="str">
        <x:f>'Blind Review'!$Y$50</x:f>
        <x:v>Reviewed</x:v>
      </x:c>
      <x:c r="M50" s="53" t="str">
        <x:f>IF('Blind Review'!$W$50&lt;&gt;"",'Blind Review'!$W$50,"")</x:f>
        <x:v>None</x:v>
      </x:c>
      <x:c r="N50" s="53" t="str">
        <x:f>IF('Blind Review'!$V$50&lt;&gt;"",'Blind Review'!$V$50,"")</x:f>
        <x:v>事实准确，但句首小写及“Put a suitable amount”较生硬，卖点不够具体；建议润色。</x:v>
      </x:c>
    </x:row>
    <x:row r="51" ht="42" customHeight="1">
      <x:c r="A51" s="53" t="str">
        <x:f>'Blind Review'!$B$51</x:f>
        <x:v>G024-B</x:v>
      </x:c>
      <x:c r="B51" s="53" t="str">
        <x:f>'Blind Review'!$C$51</x:f>
        <x:v>G024</x:v>
      </x:c>
      <x:c r="C51" s="53" t="str">
        <x:f>'Blind Review'!$D$51</x:f>
        <x:v>MV-CREAM-001</x:v>
      </x:c>
      <x:c r="D51" s="53" t="str">
        <x:f>'Blind Review'!$E$51</x:f>
        <x:v>en-US</x:v>
      </x:c>
      <x:c r="E51" s="53" t="str">
        <x:f>'Blind Review'!$F$51</x:f>
        <x:v>social_ad_copy</x:v>
      </x:c>
      <x:c r="F51" s="53" t="str">
        <x:f>'Blind Review'!$G$51</x:f>
        <x:v>B</x:v>
      </x:c>
      <x:c r="G51" s="53" t="str">
        <x:f>IF(OR('Blind Review'!$Y$51="Reviewed",'Blind Review'!$Y$51="Failure"),'Blind Review'!$I$51,"")</x:f>
        <x:v>Pass</x:v>
      </x:c>
      <x:c r="H51" s="59" t="n">
        <x:f>IF(OR('Blind Review'!$Y$51="Reviewed",'Blind Review'!$Y$51="Failure"),'Blind Review'!$X$51,"")</x:f>
        <x:v>4.285714285714286</x:v>
      </x:c>
      <x:c r="I51" s="53" t="n">
        <x:f>IF(OR('Blind Review'!$Y$51="Reviewed",'Blind Review'!$Y$51="Failure"),'Blind Review'!$P$51,"")</x:f>
        <x:v>4</x:v>
      </x:c>
      <x:c r="J51" s="53" t="n">
        <x:f>IF(OR('Blind Review'!$Y$51="Reviewed",'Blind Review'!$Y$51="Failure"),'Blind Review'!$Q$51,"")</x:f>
        <x:v>1</x:v>
      </x:c>
      <x:c r="K51" s="53" t="n">
        <x:f>IF(OR('Blind Review'!$Y$51="Reviewed",'Blind Review'!$Y$51="Failure"),'Blind Review'!$R$51,"")</x:f>
        <x:v>4</x:v>
      </x:c>
      <x:c r="L51" s="53" t="str">
        <x:f>'Blind Review'!$Y$51</x:f>
        <x:v>Reviewed</x:v>
      </x:c>
      <x:c r="M51" s="53" t="str">
        <x:f>IF('Blind Review'!$W$51&lt;&gt;"",'Blind Review'!$W$51,"")</x:f>
        <x:v>None</x:v>
      </x:c>
      <x:c r="N51" s="53" t="str">
        <x:f>IF('Blind Review'!$V$51&lt;&gt;"",'Blind Review'!$V$51,"")</x:f>
        <x:v>功效限定、关键成分和防晒步骤衔接自然，CTA适度；补充平台元数据即可。</x:v>
      </x:c>
    </x:row>
    <x:row r="52" ht="42" customHeight="1">
      <x:c r="A52" s="53" t="str">
        <x:f>'Blind Review'!$B$52</x:f>
        <x:v>G025-A</x:v>
      </x:c>
      <x:c r="B52" s="53" t="str">
        <x:f>'Blind Review'!$C$52</x:f>
        <x:v>G025</x:v>
      </x:c>
      <x:c r="C52" s="53" t="str">
        <x:f>'Blind Review'!$D$52</x:f>
        <x:v>MV-HAND-001</x:v>
      </x:c>
      <x:c r="D52" s="53" t="str">
        <x:f>'Blind Review'!$E$52</x:f>
        <x:v>es-MX</x:v>
      </x:c>
      <x:c r="E52" s="53" t="str">
        <x:f>'Blind Review'!$F$52</x:f>
        <x:v>social_ad_copy</x:v>
      </x:c>
      <x:c r="F52" s="53" t="str">
        <x:f>'Blind Review'!$G$52</x:f>
        <x:v>A</x:v>
      </x:c>
      <x:c r="G52" s="53" t="str">
        <x:f>IF(OR('Blind Review'!$Y$52="Reviewed",'Blind Review'!$Y$52="Failure"),'Blind Review'!$I$52,"")</x:f>
        <x:v>Fail</x:v>
      </x:c>
      <x:c r="H52" s="59" t="n">
        <x:f>IF(OR('Blind Review'!$Y$52="Reviewed",'Blind Review'!$Y$52="Failure"),'Blind Review'!$X$52,"")</x:f>
        <x:v>2.5714285714285716</x:v>
      </x:c>
      <x:c r="I52" s="53" t="n">
        <x:f>IF(OR('Blind Review'!$Y$52="Reviewed",'Blind Review'!$Y$52="Failure"),'Blind Review'!$P$52,"")</x:f>
        <x:v>2</x:v>
      </x:c>
      <x:c r="J52" s="53" t="n">
        <x:f>IF(OR('Blind Review'!$Y$52="Reviewed",'Blind Review'!$Y$52="Failure"),'Blind Review'!$Q$52,"")</x:f>
        <x:v>4</x:v>
      </x:c>
      <x:c r="K52" s="53" t="n">
        <x:f>IF(OR('Blind Review'!$Y$52="Reviewed",'Blind Review'!$Y$52="Failure"),'Blind Review'!$R$52,"")</x:f>
        <x:v>7</x:v>
      </x:c>
      <x:c r="L52" s="53" t="str">
        <x:f>'Blind Review'!$Y$52</x:f>
        <x:v>Failure</x:v>
      </x:c>
      <x:c r="M52" s="53" t="str">
        <x:f>IF('Blind Review'!$W$52&lt;&gt;"",'Blind Review'!$W$52,"")</x:f>
        <x:v>Prohibited claim; Packaging mismatch</x:v>
      </x:c>
      <x:c r="N52" s="53" t="str">
        <x:f>IF('Blind Review'!$V$52&lt;&gt;"",'Blind Review'!$V$52,"")</x:f>
        <x:v>“Repara las manos secas”越界，铝管材质也与事实参考不一致；需重写功效并修正包装。</x:v>
      </x:c>
    </x:row>
    <x:row r="53" ht="42" customHeight="1">
      <x:c r="A53" s="53" t="str">
        <x:f>'Blind Review'!$B$53</x:f>
        <x:v>G025-B</x:v>
      </x:c>
      <x:c r="B53" s="53" t="str">
        <x:f>'Blind Review'!$C$53</x:f>
        <x:v>G025</x:v>
      </x:c>
      <x:c r="C53" s="53" t="str">
        <x:f>'Blind Review'!$D$53</x:f>
        <x:v>MV-HAND-001</x:v>
      </x:c>
      <x:c r="D53" s="53" t="str">
        <x:f>'Blind Review'!$E$53</x:f>
        <x:v>es-MX</x:v>
      </x:c>
      <x:c r="E53" s="53" t="str">
        <x:f>'Blind Review'!$F$53</x:f>
        <x:v>social_ad_copy</x:v>
      </x:c>
      <x:c r="F53" s="53" t="str">
        <x:f>'Blind Review'!$G$53</x:f>
        <x:v>B</x:v>
      </x:c>
      <x:c r="G53" s="53" t="str">
        <x:f>IF(OR('Blind Review'!$Y$53="Reviewed",'Blind Review'!$Y$53="Failure"),'Blind Review'!$I$53,"")</x:f>
        <x:v>Pass</x:v>
      </x:c>
      <x:c r="H53" s="59" t="n">
        <x:f>IF(OR('Blind Review'!$Y$53="Reviewed",'Blind Review'!$Y$53="Failure"),'Blind Review'!$X$53,"")</x:f>
        <x:v>4.428571428571429</x:v>
      </x:c>
      <x:c r="I53" s="53" t="n">
        <x:f>IF(OR('Blind Review'!$Y$53="Reviewed",'Blind Review'!$Y$53="Failure"),'Blind Review'!$P$53,"")</x:f>
        <x:v>4</x:v>
      </x:c>
      <x:c r="J53" s="53" t="n">
        <x:f>IF(OR('Blind Review'!$Y$53="Reviewed",'Blind Review'!$Y$53="Failure"),'Blind Review'!$Q$53,"")</x:f>
        <x:v>1</x:v>
      </x:c>
      <x:c r="K53" s="53" t="n">
        <x:f>IF(OR('Blind Review'!$Y$53="Reviewed",'Blind Review'!$Y$53="Failure"),'Blind Review'!$R$53,"")</x:f>
        <x:v>4</x:v>
      </x:c>
      <x:c r="L53" s="53" t="str">
        <x:f>'Blind Review'!$Y$53</x:f>
        <x:v>Reviewed</x:v>
      </x:c>
      <x:c r="M53" s="53" t="str">
        <x:f>IF('Blind Review'!$W$53&lt;&gt;"",'Blind Review'!$W$53,"")</x:f>
        <x:v>None</x:v>
      </x:c>
      <x:c r="N53" s="53" t="str">
        <x:f>IF('Blind Review'!$V$53&lt;&gt;"",'Blind Review'!$V$53,"")</x:f>
        <x:v>墨西哥西语自然，成分、感受型利益点和用法准确；补充平台与AI使用状态。</x:v>
      </x:c>
    </x:row>
    <x:row r="54" ht="42" customHeight="1">
      <x:c r="A54" s="53" t="str">
        <x:f>'Blind Review'!$B$54</x:f>
        <x:v>G026-A</x:v>
      </x:c>
      <x:c r="B54" s="53" t="str">
        <x:f>'Blind Review'!$C$54</x:f>
        <x:v>G026</x:v>
      </x:c>
      <x:c r="C54" s="53" t="str">
        <x:f>'Blind Review'!$D$54</x:f>
        <x:v>MV-CLEAN-001</x:v>
      </x:c>
      <x:c r="D54" s="53" t="str">
        <x:f>'Blind Review'!$E$54</x:f>
        <x:v>en-US</x:v>
      </x:c>
      <x:c r="E54" s="53" t="str">
        <x:f>'Blind Review'!$F$54</x:f>
        <x:v>social_ad_copy</x:v>
      </x:c>
      <x:c r="F54" s="53" t="str">
        <x:f>'Blind Review'!$G$54</x:f>
        <x:v>A</x:v>
      </x:c>
      <x:c r="G54" s="53" t="str">
        <x:f>IF(OR('Blind Review'!$Y$54="Reviewed",'Blind Review'!$Y$54="Failure"),'Blind Review'!$I$54,"")</x:f>
        <x:v>Pass</x:v>
      </x:c>
      <x:c r="H54" s="59" t="n">
        <x:f>IF(OR('Blind Review'!$Y$54="Reviewed",'Blind Review'!$Y$54="Failure"),'Blind Review'!$X$54,"")</x:f>
        <x:v>4.285714285714286</x:v>
      </x:c>
      <x:c r="I54" s="53" t="n">
        <x:f>IF(OR('Blind Review'!$Y$54="Reviewed",'Blind Review'!$Y$54="Failure"),'Blind Review'!$P$54,"")</x:f>
        <x:v>4</x:v>
      </x:c>
      <x:c r="J54" s="53" t="n">
        <x:f>IF(OR('Blind Review'!$Y$54="Reviewed",'Blind Review'!$Y$54="Failure"),'Blind Review'!$Q$54,"")</x:f>
        <x:v>1</x:v>
      </x:c>
      <x:c r="K54" s="53" t="n">
        <x:f>IF(OR('Blind Review'!$Y$54="Reviewed",'Blind Review'!$Y$54="Failure"),'Blind Review'!$R$54,"")</x:f>
        <x:v>4</x:v>
      </x:c>
      <x:c r="L54" s="53" t="str">
        <x:f>'Blind Review'!$Y$54</x:f>
        <x:v>Reviewed</x:v>
      </x:c>
      <x:c r="M54" s="53" t="str">
        <x:f>IF('Blind Review'!$W$54&lt;&gt;"",'Blind Review'!$W$54,"")</x:f>
        <x:v>None</x:v>
      </x:c>
      <x:c r="N54" s="53" t="str">
        <x:f>IF('Blind Review'!$V$54&lt;&gt;"",'Blind Review'!$V$54,"")</x:f>
        <x:v>清洁利益点和使用说明准确完整，语气可信；发布前补充平台和AI状态。</x:v>
      </x:c>
    </x:row>
    <x:row r="55" ht="42" customHeight="1">
      <x:c r="A55" s="53" t="str">
        <x:f>'Blind Review'!$B$55</x:f>
        <x:v>G026-B</x:v>
      </x:c>
      <x:c r="B55" s="53" t="str">
        <x:f>'Blind Review'!$C$55</x:f>
        <x:v>G026</x:v>
      </x:c>
      <x:c r="C55" s="53" t="str">
        <x:f>'Blind Review'!$D$55</x:f>
        <x:v>MV-CLEAN-001</x:v>
      </x:c>
      <x:c r="D55" s="53" t="str">
        <x:f>'Blind Review'!$E$55</x:f>
        <x:v>en-US</x:v>
      </x:c>
      <x:c r="E55" s="53" t="str">
        <x:f>'Blind Review'!$F$55</x:f>
        <x:v>social_ad_copy</x:v>
      </x:c>
      <x:c r="F55" s="53" t="str">
        <x:f>'Blind Review'!$G$55</x:f>
        <x:v>B</x:v>
      </x:c>
      <x:c r="G55" s="53" t="str">
        <x:f>IF(OR('Blind Review'!$Y$55="Reviewed",'Blind Review'!$Y$55="Failure"),'Blind Review'!$I$55,"")</x:f>
        <x:v>Pass</x:v>
      </x:c>
      <x:c r="H55" s="59" t="n">
        <x:f>IF(OR('Blind Review'!$Y$55="Reviewed",'Blind Review'!$Y$55="Failure"),'Blind Review'!$X$55,"")</x:f>
        <x:v>3.2857142857142856</x:v>
      </x:c>
      <x:c r="I55" s="53" t="n">
        <x:f>IF(OR('Blind Review'!$Y$55="Reviewed",'Blind Review'!$Y$55="Failure"),'Blind Review'!$P$55,"")</x:f>
        <x:v>3</x:v>
      </x:c>
      <x:c r="J55" s="53" t="n">
        <x:f>IF(OR('Blind Review'!$Y$55="Reviewed",'Blind Review'!$Y$55="Failure"),'Blind Review'!$Q$55,"")</x:f>
        <x:v>3</x:v>
      </x:c>
      <x:c r="K55" s="53" t="n">
        <x:f>IF(OR('Blind Review'!$Y$55="Reviewed",'Blind Review'!$Y$55="Failure"),'Blind Review'!$R$55,"")</x:f>
        <x:v>5</x:v>
      </x:c>
      <x:c r="L55" s="53" t="str">
        <x:f>'Blind Review'!$Y$55</x:f>
        <x:v>Reviewed</x:v>
      </x:c>
      <x:c r="M55" s="53" t="str">
        <x:f>IF('Blind Review'!$W$55&lt;&gt;"",'Blind Review'!$W$55,"")</x:f>
        <x:v>None</x:v>
      </x:c>
      <x:c r="N55" s="53" t="str">
        <x:f>IF('Blind Review'!$V$55&lt;&gt;"",'Blind Review'!$V$55,"")</x:f>
        <x:v>事实准确但语言较模板化，句首小写且用法不够自然；建议润色并补平台元数据。</x:v>
      </x:c>
    </x:row>
    <x:row r="56" ht="42" customHeight="1">
      <x:c r="A56" s="53" t="str">
        <x:f>'Blind Review'!$B$56</x:f>
        <x:v>G027-A</x:v>
      </x:c>
      <x:c r="B56" s="53" t="str">
        <x:f>'Blind Review'!$C$56</x:f>
        <x:v>G027</x:v>
      </x:c>
      <x:c r="C56" s="53" t="str">
        <x:f>'Blind Review'!$D$56</x:f>
        <x:v>MV-HAND-001</x:v>
      </x:c>
      <x:c r="D56" s="53" t="str">
        <x:f>'Blind Review'!$E$56</x:f>
        <x:v>es-MX</x:v>
      </x:c>
      <x:c r="E56" s="53" t="str">
        <x:f>'Blind Review'!$F$56</x:f>
        <x:v>product_listing</x:v>
      </x:c>
      <x:c r="F56" s="53" t="str">
        <x:f>'Blind Review'!$G$56</x:f>
        <x:v>A</x:v>
      </x:c>
      <x:c r="G56" s="53" t="str">
        <x:f>IF(OR('Blind Review'!$Y$56="Reviewed",'Blind Review'!$Y$56="Failure"),'Blind Review'!$I$56,"")</x:f>
        <x:v>Fail</x:v>
      </x:c>
      <x:c r="H56" s="59" t="n">
        <x:f>IF(OR('Blind Review'!$Y$56="Reviewed",'Blind Review'!$Y$56="Failure"),'Blind Review'!$X$56,"")</x:f>
        <x:v>4.142857142857143</x:v>
      </x:c>
      <x:c r="I56" s="53" t="n">
        <x:f>IF(OR('Blind Review'!$Y$56="Reviewed",'Blind Review'!$Y$56="Failure"),'Blind Review'!$P$56,"")</x:f>
        <x:v>2</x:v>
      </x:c>
      <x:c r="J56" s="53" t="n">
        <x:f>IF(OR('Blind Review'!$Y$56="Reviewed",'Blind Review'!$Y$56="Failure"),'Blind Review'!$Q$56,"")</x:f>
        <x:v>2</x:v>
      </x:c>
      <x:c r="K56" s="53" t="n">
        <x:f>IF(OR('Blind Review'!$Y$56="Reviewed",'Blind Review'!$Y$56="Failure"),'Blind Review'!$R$56,"")</x:f>
        <x:v>6</x:v>
      </x:c>
      <x:c r="L56" s="53" t="str">
        <x:f>'Blind Review'!$Y$56</x:f>
        <x:v>Failure</x:v>
      </x:c>
      <x:c r="M56" s="53" t="str">
        <x:f>IF('Blind Review'!$W$56&lt;&gt;"",'Blind Review'!$W$56,"")</x:f>
        <x:v>Packaging mismatch</x:v>
      </x:c>
      <x:c r="N56" s="53" t="str">
        <x:f>IF('Blind Review'!$V$56&lt;&gt;"",'Blind Review'!$V$56,"")</x:f>
        <x:v>Listing结构和西语表现优秀，但铝管及PP盖材质与事实参考的软管描述不一致；需修正。</x:v>
      </x:c>
    </x:row>
    <x:row r="57" ht="42" customHeight="1">
      <x:c r="A57" s="53" t="str">
        <x:f>'Blind Review'!$B$57</x:f>
        <x:v>G027-B</x:v>
      </x:c>
      <x:c r="B57" s="53" t="str">
        <x:f>'Blind Review'!$C$57</x:f>
        <x:v>G027</x:v>
      </x:c>
      <x:c r="C57" s="53" t="str">
        <x:f>'Blind Review'!$D$57</x:f>
        <x:v>MV-HAND-001</x:v>
      </x:c>
      <x:c r="D57" s="53" t="str">
        <x:f>'Blind Review'!$E$57</x:f>
        <x:v>es-MX</x:v>
      </x:c>
      <x:c r="E57" s="53" t="str">
        <x:f>'Blind Review'!$F$57</x:f>
        <x:v>product_listing</x:v>
      </x:c>
      <x:c r="F57" s="53" t="str">
        <x:f>'Blind Review'!$G$57</x:f>
        <x:v>B</x:v>
      </x:c>
      <x:c r="G57" s="53" t="str">
        <x:f>IF(OR('Blind Review'!$Y$57="Reviewed",'Blind Review'!$Y$57="Failure"),'Blind Review'!$I$57,"")</x:f>
        <x:v>Fail</x:v>
      </x:c>
      <x:c r="H57" s="59" t="n">
        <x:f>IF(OR('Blind Review'!$Y$57="Reviewed",'Blind Review'!$Y$57="Failure"),'Blind Review'!$X$57,"")</x:f>
        <x:v>1.8571428571428572</x:v>
      </x:c>
      <x:c r="I57" s="53" t="n">
        <x:f>IF(OR('Blind Review'!$Y$57="Reviewed",'Blind Review'!$Y$57="Failure"),'Blind Review'!$P$57,"")</x:f>
        <x:v>1</x:v>
      </x:c>
      <x:c r="J57" s="53" t="n">
        <x:f>IF(OR('Blind Review'!$Y$57="Reviewed",'Blind Review'!$Y$57="Failure"),'Blind Review'!$Q$57,"")</x:f>
        <x:v>5</x:v>
      </x:c>
      <x:c r="K57" s="53" t="n">
        <x:f>IF(OR('Blind Review'!$Y$57="Reviewed",'Blind Review'!$Y$57="Failure"),'Blind Review'!$R$57,"")</x:f>
        <x:v>8</x:v>
      </x:c>
      <x:c r="L57" s="53" t="str">
        <x:f>'Blind Review'!$Y$57</x:f>
        <x:v>Failure</x:v>
      </x:c>
      <x:c r="M57" s="53" t="str">
        <x:f>IF('Blind Review'!$W$57&lt;&gt;"",'Blind Review'!$W$57,"")</x:f>
        <x:v>Prohibited claim; Packaging mismatch; Platform structure</x:v>
      </x:c>
      <x:c r="N57" s="53" t="str">
        <x:f>IF('Blind Review'!$V$57&lt;&gt;"",'Blind Review'!$V$57,"")</x:f>
        <x:v>仅3个要点，西语搭配生硬；同时存在“Repara”越界功效和不一致包装材质，需要重写。</x:v>
      </x:c>
    </x:row>
    <x:row r="58" ht="42" customHeight="1">
      <x:c r="A58" s="53" t="str">
        <x:f>'Blind Review'!$B$58</x:f>
        <x:v>G028-A</x:v>
      </x:c>
      <x:c r="B58" s="53" t="str">
        <x:f>'Blind Review'!$C$58</x:f>
        <x:v>G028</x:v>
      </x:c>
      <x:c r="C58" s="53" t="str">
        <x:f>'Blind Review'!$D$58</x:f>
        <x:v>MV-SERUM-001</x:v>
      </x:c>
      <x:c r="D58" s="53" t="str">
        <x:f>'Blind Review'!$E$58</x:f>
        <x:v>es-MX</x:v>
      </x:c>
      <x:c r="E58" s="53" t="str">
        <x:f>'Blind Review'!$F$58</x:f>
        <x:v>short_video_script</x:v>
      </x:c>
      <x:c r="F58" s="53" t="str">
        <x:f>'Blind Review'!$G$58</x:f>
        <x:v>A</x:v>
      </x:c>
      <x:c r="G58" s="53" t="str">
        <x:f>IF(OR('Blind Review'!$Y$58="Reviewed",'Blind Review'!$Y$58="Failure"),'Blind Review'!$I$58,"")</x:f>
        <x:v>Pass</x:v>
      </x:c>
      <x:c r="H58" s="59" t="n">
        <x:f>IF(OR('Blind Review'!$Y$58="Reviewed",'Blind Review'!$Y$58="Failure"),'Blind Review'!$X$58,"")</x:f>
        <x:v>4.428571428571429</x:v>
      </x:c>
      <x:c r="I58" s="53" t="n">
        <x:f>IF(OR('Blind Review'!$Y$58="Reviewed",'Blind Review'!$Y$58="Failure"),'Blind Review'!$P$58,"")</x:f>
        <x:v>4</x:v>
      </x:c>
      <x:c r="J58" s="53" t="n">
        <x:f>IF(OR('Blind Review'!$Y$58="Reviewed",'Blind Review'!$Y$58="Failure"),'Blind Review'!$Q$58,"")</x:f>
        <x:v>1</x:v>
      </x:c>
      <x:c r="K58" s="53" t="n">
        <x:f>IF(OR('Blind Review'!$Y$58="Reviewed",'Blind Review'!$Y$58="Failure"),'Blind Review'!$R$58,"")</x:f>
        <x:v>4</x:v>
      </x:c>
      <x:c r="L58" s="53" t="str">
        <x:f>'Blind Review'!$Y$58</x:f>
        <x:v>Reviewed</x:v>
      </x:c>
      <x:c r="M58" s="53" t="str">
        <x:f>IF('Blind Review'!$W$58&lt;&gt;"",'Blind Review'!$W$58,"")</x:f>
        <x:v>None</x:v>
      </x:c>
      <x:c r="N58" s="53" t="str">
        <x:f>IF('Blind Review'!$V$58&lt;&gt;"",'Blind Review'!$V$58,"")</x:f>
        <x:v>脚本语言自然，成分、利益点与用法完整，适合墨西哥市场；仅需补充AIGC标识。</x:v>
      </x:c>
    </x:row>
    <x:row r="59" ht="42" customHeight="1">
      <x:c r="A59" s="53" t="str">
        <x:f>'Blind Review'!$B$59</x:f>
        <x:v>G028-B</x:v>
      </x:c>
      <x:c r="B59" s="53" t="str">
        <x:f>'Blind Review'!$C$59</x:f>
        <x:v>G028</x:v>
      </x:c>
      <x:c r="C59" s="53" t="str">
        <x:f>'Blind Review'!$D$59</x:f>
        <x:v>MV-SERUM-001</x:v>
      </x:c>
      <x:c r="D59" s="53" t="str">
        <x:f>'Blind Review'!$E$59</x:f>
        <x:v>es-MX</x:v>
      </x:c>
      <x:c r="E59" s="53" t="str">
        <x:f>'Blind Review'!$F$59</x:f>
        <x:v>short_video_script</x:v>
      </x:c>
      <x:c r="F59" s="53" t="str">
        <x:f>'Blind Review'!$G$59</x:f>
        <x:v>B</x:v>
      </x:c>
      <x:c r="G59" s="53" t="str">
        <x:f>IF(OR('Blind Review'!$Y$59="Reviewed",'Blind Review'!$Y$59="Failure"),'Blind Review'!$I$59,"")</x:f>
        <x:v>Pass</x:v>
      </x:c>
      <x:c r="H59" s="59" t="n">
        <x:f>IF(OR('Blind Review'!$Y$59="Reviewed",'Blind Review'!$Y$59="Failure"),'Blind Review'!$X$59,"")</x:f>
        <x:v>3</x:v>
      </x:c>
      <x:c r="I59" s="53" t="n">
        <x:f>IF(OR('Blind Review'!$Y$59="Reviewed",'Blind Review'!$Y$59="Failure"),'Blind Review'!$P$59,"")</x:f>
        <x:v>3</x:v>
      </x:c>
      <x:c r="J59" s="53" t="n">
        <x:f>IF(OR('Blind Review'!$Y$59="Reviewed",'Blind Review'!$Y$59="Failure"),'Blind Review'!$Q$59,"")</x:f>
        <x:v>3</x:v>
      </x:c>
      <x:c r="K59" s="53" t="n">
        <x:f>IF(OR('Blind Review'!$Y$59="Reviewed",'Blind Review'!$Y$59="Failure"),'Blind Review'!$R$59,"")</x:f>
        <x:v>6</x:v>
      </x:c>
      <x:c r="L59" s="53" t="str">
        <x:f>'Blind Review'!$Y$59</x:f>
        <x:v>Failure</x:v>
      </x:c>
      <x:c r="M59" s="53" t="str">
        <x:f>IF('Blind Review'!$W$59&lt;&gt;"",'Blind Review'!$W$59,"")</x:f>
        <x:v>Language issue; Borderline mean score</x:v>
      </x:c>
      <x:c r="N59" s="53" t="str">
        <x:f>IF('Blind Review'!$V$59&lt;&gt;"",'Blind Review'!$V$59,"")</x:f>
        <x:v>核心事实准确，但“Serum humectante”“bombea”等表达不自然，信息也较泛；需本地化润色。</x:v>
      </x:c>
    </x:row>
    <x:row r="60" ht="42" customHeight="1">
      <x:c r="A60" s="53" t="str">
        <x:f>'Blind Review'!$B$60</x:f>
        <x:v>G029-A</x:v>
      </x:c>
      <x:c r="B60" s="53" t="str">
        <x:f>'Blind Review'!$C$60</x:f>
        <x:v>G029</x:v>
      </x:c>
      <x:c r="C60" s="53" t="str">
        <x:f>'Blind Review'!$D$60</x:f>
        <x:v>MV-CREAM-001</x:v>
      </x:c>
      <x:c r="D60" s="53" t="str">
        <x:f>'Blind Review'!$E$60</x:f>
        <x:v>es-MX</x:v>
      </x:c>
      <x:c r="E60" s="53" t="str">
        <x:f>'Blind Review'!$F$60</x:f>
        <x:v>product_listing</x:v>
      </x:c>
      <x:c r="F60" s="53" t="str">
        <x:f>'Blind Review'!$G$60</x:f>
        <x:v>A</x:v>
      </x:c>
      <x:c r="G60" s="53" t="str">
        <x:f>IF(OR('Blind Review'!$Y$60="Reviewed",'Blind Review'!$Y$60="Failure"),'Blind Review'!$I$60,"")</x:f>
        <x:v>Fail</x:v>
      </x:c>
      <x:c r="H60" s="59" t="n">
        <x:f>IF(OR('Blind Review'!$Y$60="Reviewed",'Blind Review'!$Y$60="Failure"),'Blind Review'!$X$60,"")</x:f>
        <x:v>2.7142857142857144</x:v>
      </x:c>
      <x:c r="I60" s="53" t="n">
        <x:f>IF(OR('Blind Review'!$Y$60="Reviewed",'Blind Review'!$Y$60="Failure"),'Blind Review'!$P$60,"")</x:f>
        <x:v>2</x:v>
      </x:c>
      <x:c r="J60" s="53" t="n">
        <x:f>IF(OR('Blind Review'!$Y$60="Reviewed",'Blind Review'!$Y$60="Failure"),'Blind Review'!$Q$60,"")</x:f>
        <x:v>4</x:v>
      </x:c>
      <x:c r="K60" s="53" t="n">
        <x:f>IF(OR('Blind Review'!$Y$60="Reviewed",'Blind Review'!$Y$60="Failure"),'Blind Review'!$R$60,"")</x:f>
        <x:v>7</x:v>
      </x:c>
      <x:c r="L60" s="53" t="str">
        <x:f>'Blind Review'!$Y$60</x:f>
        <x:v>Failure</x:v>
      </x:c>
      <x:c r="M60" s="53" t="str">
        <x:f>IF('Blind Review'!$W$60&lt;&gt;"",'Blind Review'!$W$60,"")</x:f>
        <x:v>Unsupported packaging; Language issue; Platform structure</x:v>
      </x:c>
      <x:c r="N60" s="53" t="str">
        <x:f>IF('Blind Review'!$V$60&lt;&gt;"",'Blind Review'!$V$60,"")</x:f>
        <x:v>仅3个要点且“Crema de cara libre de fragancia”不自然；PP罐与内盖无事实依据，需修改。</x:v>
      </x:c>
    </x:row>
    <x:row r="61" ht="42" customHeight="1">
      <x:c r="A61" s="53" t="str">
        <x:f>'Blind Review'!$B$61</x:f>
        <x:v>G029-B</x:v>
      </x:c>
      <x:c r="B61" s="53" t="str">
        <x:f>'Blind Review'!$C$61</x:f>
        <x:v>G029</x:v>
      </x:c>
      <x:c r="C61" s="53" t="str">
        <x:f>'Blind Review'!$D$61</x:f>
        <x:v>MV-CREAM-001</x:v>
      </x:c>
      <x:c r="D61" s="53" t="str">
        <x:f>'Blind Review'!$E$61</x:f>
        <x:v>es-MX</x:v>
      </x:c>
      <x:c r="E61" s="53" t="str">
        <x:f>'Blind Review'!$F$61</x:f>
        <x:v>product_listing</x:v>
      </x:c>
      <x:c r="F61" s="53" t="str">
        <x:f>'Blind Review'!$G$61</x:f>
        <x:v>B</x:v>
      </x:c>
      <x:c r="G61" s="53" t="str">
        <x:f>IF(OR('Blind Review'!$Y$61="Reviewed",'Blind Review'!$Y$61="Failure"),'Blind Review'!$I$61,"")</x:f>
        <x:v>Fail</x:v>
      </x:c>
      <x:c r="H61" s="59" t="n">
        <x:f>IF(OR('Blind Review'!$Y$61="Reviewed",'Blind Review'!$Y$61="Failure"),'Blind Review'!$X$61,"")</x:f>
        <x:v>4.142857142857143</x:v>
      </x:c>
      <x:c r="I61" s="53" t="n">
        <x:f>IF(OR('Blind Review'!$Y$61="Reviewed",'Blind Review'!$Y$61="Failure"),'Blind Review'!$P$61,"")</x:f>
        <x:v>2</x:v>
      </x:c>
      <x:c r="J61" s="53" t="n">
        <x:f>IF(OR('Blind Review'!$Y$61="Reviewed",'Blind Review'!$Y$61="Failure"),'Blind Review'!$Q$61,"")</x:f>
        <x:v>2</x:v>
      </x:c>
      <x:c r="K61" s="53" t="n">
        <x:f>IF(OR('Blind Review'!$Y$61="Reviewed",'Blind Review'!$Y$61="Failure"),'Blind Review'!$R$61,"")</x:f>
        <x:v>6</x:v>
      </x:c>
      <x:c r="L61" s="53" t="str">
        <x:f>'Blind Review'!$Y$61</x:f>
        <x:v>Failure</x:v>
      </x:c>
      <x:c r="M61" s="53" t="str">
        <x:f>IF('Blind Review'!$W$61&lt;&gt;"",'Blind Review'!$W$61,"")</x:f>
        <x:v>Unsupported packaging</x:v>
      </x:c>
      <x:c r="N61" s="53" t="str">
        <x:f>IF('Blind Review'!$V$61&lt;&gt;"",'Blind Review'!$V$61,"")</x:f>
        <x:v>信息结构与西语质量优秀，但PP罐及内盖未获事实参考支持；修正包装并补AI字段。</x:v>
      </x:c>
    </x:row>
    <x:row r="62" ht="42" customHeight="1">
      <x:c r="A62" s="53" t="str">
        <x:f>'Blind Review'!$B$62</x:f>
        <x:v>G030-A</x:v>
      </x:c>
      <x:c r="B62" s="53" t="str">
        <x:f>'Blind Review'!$C$62</x:f>
        <x:v>G030</x:v>
      </x:c>
      <x:c r="C62" s="53" t="str">
        <x:f>'Blind Review'!$D$62</x:f>
        <x:v>MV-KIT-001</x:v>
      </x:c>
      <x:c r="D62" s="53" t="str">
        <x:f>'Blind Review'!$E$62</x:f>
        <x:v>es-MX</x:v>
      </x:c>
      <x:c r="E62" s="53" t="str">
        <x:f>'Blind Review'!$F$62</x:f>
        <x:v>social_ad_copy</x:v>
      </x:c>
      <x:c r="F62" s="53" t="str">
        <x:f>'Blind Review'!$G$62</x:f>
        <x:v>A</x:v>
      </x:c>
      <x:c r="G62" s="53" t="str">
        <x:f>IF(OR('Blind Review'!$Y$62="Reviewed",'Blind Review'!$Y$62="Failure"),'Blind Review'!$I$62,"")</x:f>
        <x:v>Fail</x:v>
      </x:c>
      <x:c r="H62" s="59" t="n">
        <x:f>IF(OR('Blind Review'!$Y$62="Reviewed",'Blind Review'!$Y$62="Failure"),'Blind Review'!$X$62,"")</x:f>
        <x:v>2.5714285714285716</x:v>
      </x:c>
      <x:c r="I62" s="53" t="n">
        <x:f>IF(OR('Blind Review'!$Y$62="Reviewed",'Blind Review'!$Y$62="Failure"),'Blind Review'!$P$62,"")</x:f>
        <x:v>2</x:v>
      </x:c>
      <x:c r="J62" s="53" t="n">
        <x:f>IF(OR('Blind Review'!$Y$62="Reviewed",'Blind Review'!$Y$62="Failure"),'Blind Review'!$Q$62,"")</x:f>
        <x:v>4</x:v>
      </x:c>
      <x:c r="K62" s="53" t="n">
        <x:f>IF(OR('Blind Review'!$Y$62="Reviewed",'Blind Review'!$Y$62="Failure"),'Blind Review'!$R$62,"")</x:f>
        <x:v>7</x:v>
      </x:c>
      <x:c r="L62" s="53" t="str">
        <x:f>'Blind Review'!$Y$62</x:f>
        <x:v>Failure</x:v>
      </x:c>
      <x:c r="M62" s="53" t="str">
        <x:f>IF('Blind Review'!$W$62&lt;&gt;"",'Blind Review'!$W$62,"")</x:f>
        <x:v>Prohibited claim; Brand risk</x:v>
      </x:c>
      <x:c r="N62" s="53" t="str">
        <x:f>IF('Blind Review'!$V$62&lt;&gt;"",'Blind Review'!$V$62,"")</x:f>
        <x:v>“Cubre todas tus necesidades”属于禁止的全能承诺，且用语较模板化；需重写Hook并补平台信息。</x:v>
      </x:c>
    </x:row>
    <x:row r="63" ht="42" customHeight="1">
      <x:c r="A63" s="53" t="str">
        <x:f>'Blind Review'!$B$63</x:f>
        <x:v>G030-B</x:v>
      </x:c>
      <x:c r="B63" s="53" t="str">
        <x:f>'Blind Review'!$C$63</x:f>
        <x:v>G030</x:v>
      </x:c>
      <x:c r="C63" s="53" t="str">
        <x:f>'Blind Review'!$D$63</x:f>
        <x:v>MV-KIT-001</x:v>
      </x:c>
      <x:c r="D63" s="53" t="str">
        <x:f>'Blind Review'!$E$63</x:f>
        <x:v>es-MX</x:v>
      </x:c>
      <x:c r="E63" s="53" t="str">
        <x:f>'Blind Review'!$F$63</x:f>
        <x:v>social_ad_copy</x:v>
      </x:c>
      <x:c r="F63" s="53" t="str">
        <x:f>'Blind Review'!$G$63</x:f>
        <x:v>B</x:v>
      </x:c>
      <x:c r="G63" s="53" t="str">
        <x:f>IF(OR('Blind Review'!$Y$63="Reviewed",'Blind Review'!$Y$63="Failure"),'Blind Review'!$I$63,"")</x:f>
        <x:v>Pass</x:v>
      </x:c>
      <x:c r="H63" s="59" t="n">
        <x:f>IF(OR('Blind Review'!$Y$63="Reviewed",'Blind Review'!$Y$63="Failure"),'Blind Review'!$X$63,"")</x:f>
        <x:v>4.285714285714286</x:v>
      </x:c>
      <x:c r="I63" s="53" t="n">
        <x:f>IF(OR('Blind Review'!$Y$63="Reviewed",'Blind Review'!$Y$63="Failure"),'Blind Review'!$P$63,"")</x:f>
        <x:v>4</x:v>
      </x:c>
      <x:c r="J63" s="53" t="n">
        <x:f>IF(OR('Blind Review'!$Y$63="Reviewed",'Blind Review'!$Y$63="Failure"),'Blind Review'!$Q$63,"")</x:f>
        <x:v>1</x:v>
      </x:c>
      <x:c r="K63" s="53" t="n">
        <x:f>IF(OR('Blind Review'!$Y$63="Reviewed",'Blind Review'!$Y$63="Failure"),'Blind Review'!$R$63,"")</x:f>
        <x:v>4</x:v>
      </x:c>
      <x:c r="L63" s="53" t="str">
        <x:f>'Blind Review'!$Y$63</x:f>
        <x:v>Reviewed</x:v>
      </x:c>
      <x:c r="M63" s="53" t="str">
        <x:f>IF('Blind Review'!$W$63&lt;&gt;"",'Blind Review'!$W$63,"")</x:f>
        <x:v>None</x:v>
      </x:c>
      <x:c r="N63" s="53" t="str">
        <x:f>IF('Blind Review'!$V$63&lt;&gt;"",'Blind Review'!$V$63,"")</x:f>
        <x:v>旅行三步骤和使用顺序表达自然可信，CTA适度；可补充容量信息及平台AI状态。</x:v>
      </x:c>
    </x:row>
  </x:sheetData>
  <x:mergeCells>
    <x:mergeCell ref="A1:N1"/>
    <x:mergeCell ref="A2:N2"/>
  </x:mergeCells>
  <x:conditionalFormatting sqref="L4:L63">
    <x:cfRule type="containsText" dxfId="6" priority="1" operator="containsText" text="Failure"/>
  </x:conditionalFormatting>
  <x:pageMargins left="0.7" right="0.7" top="0.75" bottom="0.75" header="0.3" footer="0.3"/>
  <x:tableParts count="1">
    <x:tablePart xmlns:r="http://schemas.openxmlformats.org/officeDocument/2006/relationships" r:id="R1330944b192e4b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37" hidden="0" customWidth="1"/>
    <x:col min="3" max="3" width="37" hidden="0" customWidth="1"/>
    <x:col min="4" max="4" width="37" hidden="0" customWidth="1"/>
    <x:col min="5" max="5" width="43" hidden="0" customWidth="1"/>
    <x:col min="6" max="6" width="43" hidden="0" customWidth="1"/>
  </x:cols>
  <x:sheetData>
    <x:row r="1" ht="34" customHeight="1">
      <x:c r="A1" s="3" t="str">
        <x:v>Unified Human Evaluation Rubric</x:v>
      </x:c>
      <x:c r="B1" s="3"/>
      <x:c r="C1" s="3"/>
      <x:c r="D1" s="3"/>
      <x:c r="E1" s="3"/>
      <x:c r="F1" s="3"/>
    </x:row>
    <x:row r="2">
      <x:c r="A2" s="6" t="str">
        <x:v>统一使用下列锚点；2 分与 4 分表示相邻锚点之间。事实准确性为硬判断，不并入 1–5 分平均值。</x:v>
      </x:c>
      <x:c r="B2" s="6"/>
      <x:c r="C2" s="6"/>
      <x:c r="D2" s="6"/>
      <x:c r="E2" s="6"/>
      <x:c r="F2" s="6"/>
    </x:row>
    <x:row r="4">
      <x:c r="A4" s="16" t="str">
        <x:v>Dimension</x:v>
      </x:c>
      <x:c r="B4" s="45" t="str">
        <x:v>1</x:v>
      </x:c>
      <x:c r="C4" s="45" t="str">
        <x:v>3</x:v>
      </x:c>
      <x:c r="D4" s="45" t="str">
        <x:v>5</x:v>
      </x:c>
      <x:c r="E4" s="45" t="str">
        <x:v>What to Check</x:v>
      </x:c>
      <x:c r="F4" s="17" t="str">
        <x:v>Required Evidence</x:v>
      </x:c>
    </x:row>
    <x:row r="5" ht="76" customHeight="1">
      <x:c r="A5" s="61" t="str">
        <x:v>Fact Accuracy</x:v>
      </x:c>
      <x:c r="B5" s="22" t="str">
        <x:v>Fail：存在错误、矛盾、无依据或高风险事实。</x:v>
      </x:c>
      <x:c r="C5" s="22" t="str">
        <x:v>—</x:v>
      </x:c>
      <x:c r="D5" s="22" t="str">
        <x:v>Pass：所有可核验陈述与事实参考一致。</x:v>
      </x:c>
      <x:c r="E5" s="22" t="str">
        <x:v>数字、容量、成分、功效、用法、认证、适用人群。</x:v>
      </x:c>
      <x:c r="F5" s="22" t="str">
        <x:v>Fact Reference；必要时记录具体矛盾。</x:v>
      </x:c>
    </x:row>
    <x:row r="6" ht="76" customHeight="1">
      <x:c r="A6" s="61" t="str">
        <x:v>Information Completeness</x:v>
      </x:c>
      <x:c r="B6" s="22" t="str">
        <x:v>缺少核心商品、使用或规格信息。</x:v>
      </x:c>
      <x:c r="C6" s="22" t="str">
        <x:v>覆盖主要信息，但有明显遗漏。</x:v>
      </x:c>
      <x:c r="D6" s="22" t="str">
        <x:v>关键信息完整且无冗余。</x:v>
      </x:c>
      <x:c r="E6" s="22" t="str">
        <x:v>品类、特征、功效、用法、规格；按内容类型判断。</x:v>
      </x:c>
      <x:c r="F6" s="22" t="str">
        <x:v>指出遗漏或多余信息。</x:v>
      </x:c>
    </x:row>
    <x:row r="7" ht="76" customHeight="1">
      <x:c r="A7" s="61" t="str">
        <x:v>Language Naturalness</x:v>
      </x:c>
      <x:c r="B7" s="22" t="str">
        <x:v>明显翻译腔或语法问题，影响理解。</x:v>
      </x:c>
      <x:c r="C7" s="22" t="str">
        <x:v>基本自然，有少量生硬表达。</x:v>
      </x:c>
      <x:c r="D7" s="22" t="str">
        <x:v>符合目标语言习惯，流畅清楚。</x:v>
      </x:c>
      <x:c r="E7" s="22" t="str">
        <x:v>en-US 或 es-MX 的词序、词形、搭配和节奏。</x:v>
      </x:c>
      <x:c r="F7" s="22" t="str">
        <x:v>记录不自然短语。</x:v>
      </x:c>
    </x:row>
    <x:row r="8" ht="76" customHeight="1">
      <x:c r="A8" s="61" t="str">
        <x:v>Cultural Fit</x:v>
      </x:c>
      <x:c r="B8" s="22" t="str">
        <x:v>不符合目标市场表达习惯或语域。</x:v>
      </x:c>
      <x:c r="C8" s="22" t="str">
        <x:v>基本适配，但本地感有限。</x:v>
      </x:c>
      <x:c r="D8" s="22" t="str">
        <x:v>自然符合目标市场语境且不过度刻板化。</x:v>
      </x:c>
      <x:c r="E8" s="22" t="str">
        <x:v>US/墨西哥受众、货币、称谓、tú 体系、使用场景。</x:v>
      </x:c>
      <x:c r="F8" s="22" t="str">
        <x:v>记录市场错配。</x:v>
      </x:c>
    </x:row>
    <x:row r="9" ht="76" customHeight="1">
      <x:c r="A9" s="61" t="str">
        <x:v>Brand Consistency</x:v>
      </x:c>
      <x:c r="B9" s="22" t="str">
        <x:v>夸张、高压、医疗化或不可信。</x:v>
      </x:c>
      <x:c r="C9" s="22" t="str">
        <x:v>大体克制，但品牌感不稳定。</x:v>
      </x:c>
      <x:c r="D9" s="22" t="str">
        <x:v>温和、清晰、可信、简洁。</x:v>
      </x:c>
      <x:c r="E9" s="22" t="str">
        <x:v>禁用词、谨慎限定语、CTA、语气。</x:v>
      </x:c>
      <x:c r="F9" s="22" t="str">
        <x:v>记录触发词或语气问题。</x:v>
      </x:c>
    </x:row>
    <x:row r="10" ht="76" customHeight="1">
      <x:c r="A10" s="61" t="str">
        <x:v>Platform Fit</x:v>
      </x:c>
      <x:c r="B10" s="22" t="str">
        <x:v>违反结构或硬性要求。</x:v>
      </x:c>
      <x:c r="C10" s="22" t="str">
        <x:v>可使用但需明显调整。</x:v>
      </x:c>
      <x:c r="D10" s="22" t="str">
        <x:v>结构、长度、CTA、AI 标识和内容类型高度适配。</x:v>
      </x:c>
      <x:c r="E10" s="22" t="str">
        <x:v>Listing、短视频或社媒模板要求。</x:v>
      </x:c>
      <x:c r="F10" s="22" t="str">
        <x:v>记录需要调整的字段。</x:v>
      </x:c>
    </x:row>
    <x:row r="11" ht="76" customHeight="1">
      <x:c r="A11" s="61" t="str">
        <x:v>Marketing Persuasiveness</x:v>
      </x:c>
      <x:c r="B11" s="22" t="str">
        <x:v>缺乏重点或可信说服力。</x:v>
      </x:c>
      <x:c r="C11" s="22" t="str">
        <x:v>卖点可识别，但吸引力一般。</x:v>
      </x:c>
      <x:c r="D11" s="22" t="str">
        <x:v>在事实边界内清晰、有吸引力、有行动导向。</x:v>
      </x:c>
      <x:c r="E11" s="22" t="str">
        <x:v>Hook、卖点顺序、使用场景、CTA。</x:v>
      </x:c>
      <x:c r="F11" s="22" t="str">
        <x:v>记录最强/最弱卖点。</x:v>
      </x:c>
    </x:row>
    <x:row r="12" ht="76" customHeight="1">
      <x:c r="A12" s="61" t="str">
        <x:v>Publishability</x:v>
      </x:c>
      <x:c r="B12" s="22" t="str">
        <x:v>不可发布，需要重写。</x:v>
      </x:c>
      <x:c r="C12" s="22" t="str">
        <x:v>修改后可发布。</x:v>
      </x:c>
      <x:c r="D12" s="22" t="str">
        <x:v>仅需轻微校对即可进入人工终审。</x:v>
      </x:c>
      <x:c r="E12" s="22" t="str">
        <x:v>综合事实、语言、品牌、平台和风险。</x:v>
      </x:c>
      <x:c r="F12" s="22" t="str">
        <x:v>估计修改次数并说明。</x:v>
      </x:c>
    </x:row>
    <x:row r="14">
      <x:c r="A14" s="16" t="str">
        <x:v>Content Type</x:v>
      </x:c>
      <x:c r="B14" s="45" t="str">
        <x:v>Minimum Structure</x:v>
      </x:c>
      <x:c r="C14" s="45" t="str">
        <x:v>Platform Scope</x:v>
      </x:c>
      <x:c r="D14" s="45" t="str">
        <x:v>CTA Expectation</x:v>
      </x:c>
      <x:c r="E14" s="45" t="str">
        <x:v>AI Field</x:v>
      </x:c>
      <x:c r="F14" s="17" t="str">
        <x:v>Notes</x:v>
      </x:c>
    </x:row>
    <x:row r="15" ht="68" customHeight="1">
      <x:c r="A15" s="60" t="str">
        <x:v>product_listing</x:v>
      </x:c>
      <x:c r="B15" s="22" t="str">
        <x:v>1 title + 5 bullets + 1 description</x:v>
      </x:c>
      <x:c r="C15" s="22" t="str">
        <x:v>Google Merchant Center precheck</x:v>
      </x:c>
      <x:c r="D15" s="22" t="str">
        <x:v>No standalone CTA required</x:v>
      </x:c>
      <x:c r="E15" s="22" t="str">
        <x:v>Structured AI title/description</x:v>
      </x:c>
      <x:c r="F15" s="22" t="str">
        <x:v>Do not put price or free shipping in title/description.</x:v>
      </x:c>
    </x:row>
    <x:row r="16" ht="68" customHeight="1">
      <x:c r="A16" s="60" t="str">
        <x:v>short_video_script</x:v>
      </x:c>
      <x:c r="B16" s="22" t="str">
        <x:v>15 s scene sequence + caption</x:v>
      </x:c>
      <x:c r="C16" s="22" t="str">
        <x:v>TikTok Ads precheck</x:v>
      </x:c>
      <x:c r="D16" s="22" t="str">
        <x:v>One invitation CTA</x:v>
      </x:c>
      <x:c r="E16" s="22" t="str">
        <x:v>AIGC label/method field</x:v>
      </x:c>
      <x:c r="F16" s="22" t="str">
        <x:v>Caption should not use links, @ or hashtags for Non-Spark fixture.</x:v>
      </x:c>
    </x:row>
    <x:row r="17" ht="68" customHeight="1">
      <x:c r="A17" s="60" t="str">
        <x:v>social_ad_copy</x:v>
      </x:c>
      <x:c r="B17" s="22" t="str">
        <x:v>Hook + body + CTA</x:v>
      </x:c>
      <x:c r="C17" s="22" t="str">
        <x:v>Generic Social internal template</x:v>
      </x:c>
      <x:c r="D17" s="22" t="str">
        <x:v>One invitation CTA</x:v>
      </x:c>
      <x:c r="E17" s="22" t="str">
        <x:v>AI-use status</x:v>
      </x:c>
      <x:c r="F17" s="22" t="str">
        <x:v>A real publication platform must be selected before publishing.</x:v>
      </x:c>
    </x:row>
    <x:row r="18" ht="68" customHeight="1">
      <x:c r="A18" s="60" t="str">
        <x:v>Scoring note</x:v>
      </x:c>
      <x:c r="B18" s="22" t="str">
        <x:v>Judge the content shown, not the presumed system.</x:v>
      </x:c>
      <x:c r="C18" s="22" t="str">
        <x:v>Precheck ≠ platform approval</x:v>
      </x:c>
      <x:c r="D18" s="22" t="str">
        <x:v>Avoid high-pressure or unsupported urgency</x:v>
      </x:c>
      <x:c r="E18" s="22" t="str">
        <x:v>Missing field reduces platform fit</x:v>
      </x:c>
      <x:c r="F18" s="22" t="str">
        <x:v>Do not infer facts from consumer insight.</x:v>
      </x:c>
    </x:row>
  </x:sheetData>
  <x:mergeCells>
    <x:mergeCell ref="A1:F1"/>
    <x:mergeCell ref="A2:F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2" hidden="0" customWidth="1"/>
    <x:col min="4" max="4" width="20" hidden="0" customWidth="1"/>
    <x:col min="5" max="5" width="13" hidden="0" customWidth="1"/>
    <x:col min="6" max="6" width="13" hidden="0" customWidth="1"/>
    <x:col min="7" max="7" width="43" hidden="0" customWidth="1"/>
    <x:col min="8" max="8" width="43" hidden="0" customWidth="1"/>
    <x:col min="9" max="9" width="48" hidden="0" customWidth="1"/>
    <x:col min="10" max="10" width="48" hidden="0" customWidth="1"/>
    <x:col min="11" max="11" width="48" hidden="0" customWidth="1"/>
    <x:col min="12" max="12" width="34" hidden="0" customWidth="1"/>
  </x:cols>
  <x:sheetData>
    <x:row r="1" ht="34" customHeight="1">
      <x:c r="A1" s="3" t="str">
        <x:v>Fact Reference｜Simulated Product Facts</x:v>
      </x:c>
      <x:c r="B1" s="3"/>
      <x:c r="C1" s="3"/>
      <x:c r="D1" s="3"/>
      <x:c r="E1" s="3"/>
      <x:c r="F1" s="3"/>
      <x:c r="G1" s="3"/>
      <x:c r="H1" s="3"/>
      <x:c r="I1" s="3"/>
      <x:c r="J1" s="3"/>
      <x:c r="K1" s="3"/>
      <x:c r="L1" s="3"/>
    </x:row>
    <x:row r="2">
      <x:c r="A2" s="6" t="str">
        <x:v>用于事实准确性判断。只允许在谨慎边界内复述 allowed benefit；禁止表达不因文案自然或有吸引力而放行。</x:v>
      </x:c>
      <x:c r="B2" s="6"/>
      <x:c r="C2" s="6"/>
      <x:c r="D2" s="6"/>
      <x:c r="E2" s="6"/>
      <x:c r="F2" s="6"/>
      <x:c r="G2" s="6"/>
      <x:c r="H2" s="6"/>
      <x:c r="I2" s="6"/>
      <x:c r="J2" s="6"/>
      <x:c r="K2" s="6"/>
      <x:c r="L2" s="6"/>
    </x:row>
    <x:row r="3">
      <x:c r="A3" s="16" t="str">
        <x:v>SKU</x:v>
      </x:c>
      <x:c r="B3" s="45" t="str">
        <x:v>Chinese Name</x:v>
      </x:c>
      <x:c r="C3" s="45" t="str">
        <x:v>Category / Preferred Terms</x:v>
      </x:c>
      <x:c r="D3" s="45" t="str">
        <x:v>Size</x:v>
      </x:c>
      <x:c r="E3" s="45" t="str">
        <x:v>US Price</x:v>
      </x:c>
      <x:c r="F3" s="45" t="str">
        <x:v>MX Price</x:v>
      </x:c>
      <x:c r="G3" s="45" t="str">
        <x:v>Verified Features</x:v>
      </x:c>
      <x:c r="H3" s="45" t="str">
        <x:v>Selected Ingredients</x:v>
      </x:c>
      <x:c r="I3" s="45" t="str">
        <x:v>Allowed Benefit Boundary</x:v>
      </x:c>
      <x:c r="J3" s="45" t="str">
        <x:v>Usage</x:v>
      </x:c>
      <x:c r="K3" s="45" t="str">
        <x:v>Prohibited Claims</x:v>
      </x:c>
      <x:c r="L3" s="17" t="str">
        <x:v>Source</x:v>
      </x:c>
    </x:row>
    <x:row r="4" ht="112" customHeight="1">
      <x:c r="A4" s="22" t="str">
        <x:v>MV-CLEAN-001</x:v>
      </x:c>
      <x:c r="B4" s="22" t="str">
        <x:v>云柔氨基酸洁面乳</x:v>
      </x:c>
      <x:c r="C4" s="22" t="str">
        <x:v>面部洁面乳 / facial cleanser / limpiador facial</x:v>
      </x:c>
      <x:c r="D4" s="22" t="str">
        <x:v>120 mL</x:v>
      </x:c>
      <x:c r="E4" s="22" t="str">
        <x:v>USD 16</x:v>
      </x:c>
      <x:c r="F4" s="22" t="str">
        <x:v>MXN 319</x:v>
      </x:c>
      <x:c r="G4" s="22" t="str">
        <x:v>无添加香精；不含硫酸盐表面活性剂；pH 5.5±0.5；泵式包装</x:v>
      </x:c>
      <x:c r="H4" s="22" t="str">
        <x:v>甘油、椰油酰甘氨酸钠、椰油酰胺丙基甜菜碱、泛醇、甜菜碱、尿囊素</x:v>
      </x:c>
      <x:c r="I4" s="22" t="str">
        <x:v>帮助洗去表面污垢和多余油脂；清洁后肌肤感觉舒适</x:v>
      </x:c>
      <x:c r="J4" s="22" t="str">
        <x:v>1–2 泵；湿润面部按摩约 30 秒后冲洗；避开眼周</x:v>
      </x:c>
      <x:c r="K4" s="22" t="str">
        <x:v>治疗痤疮/湿疹；深层排毒；永久缩小毛孔；低敏/临床证明</x:v>
      </x:c>
      <x:c r="L4" s="22" t="str">
        <x:v>data/products/product_facts.json</x:v>
      </x:c>
    </x:row>
    <x:row r="5" ht="112" customHeight="1">
      <x:c r="A5" s="22" t="str">
        <x:v>MV-SERUM-001</x:v>
      </x:c>
      <x:c r="B5" s="22" t="str">
        <x:v>水衡保湿精华</x:v>
      </x:c>
      <x:c r="C5" s="22" t="str">
        <x:v>保湿精华 / hydrating serum / sérum hidratante</x:v>
      </x:c>
      <x:c r="D5" s="22" t="str">
        <x:v>30 mL</x:v>
      </x:c>
      <x:c r="E5" s="22" t="str">
        <x:v>USD 24</x:v>
      </x:c>
      <x:c r="F5" s="22" t="str">
        <x:v>MXN 479</x:v>
      </x:c>
      <x:c r="G5" s="22" t="str">
        <x:v>无添加香精；水基凝露；透明质酸钠与泛醇；按压泵</x:v>
      </x:c>
      <x:c r="H5" s="22" t="str">
        <x:v>甘油、丙二醇、透明质酸钠、泛醇、甜菜碱</x:v>
      </x:c>
      <x:c r="I5" s="22" t="str">
        <x:v>帮助肌肤感觉水润、柔软；可作为面霜前的补水步骤</x:v>
      </x:c>
      <x:c r="J5" s="22" t="str">
        <x:v>洁面后 1–2 泵用于面部和颈部；再用面霜；避开眼周</x:v>
      </x:c>
      <x:c r="K5" s="22" t="str">
        <x:v>24/72 小时保湿；修复屏障；消除细纹；临床证明；所有肤质</x:v>
      </x:c>
      <x:c r="L5" s="22" t="str">
        <x:v>data/products/product_facts.json</x:v>
      </x:c>
    </x:row>
    <x:row r="6" ht="112" customHeight="1">
      <x:c r="A6" s="22" t="str">
        <x:v>MV-CREAM-001</x:v>
      </x:c>
      <x:c r="B6" s="22" t="str">
        <x:v>静润无香面霜</x:v>
      </x:c>
      <x:c r="C6" s="22" t="str">
        <x:v>面部保湿霜 / facial moisturizer / crema hidratante facial</x:v>
      </x:c>
      <x:c r="D6" s="22" t="str">
        <x:v>50 mL</x:v>
      </x:c>
      <x:c r="E6" s="22" t="str">
        <x:v>USD 22</x:v>
      </x:c>
      <x:c r="F6" s="22" t="str">
        <x:v>MXN 439</x:v>
      </x:c>
      <x:c r="G6" s="22" t="str">
        <x:v>无添加香精；含角鲨烷、泛醇和 β-葡聚糖；乳霜质地</x:v>
      </x:c>
      <x:c r="H6" s="22" t="str">
        <x:v>甘油、辛酸/癸酸甘油三酯、角鲨烷、泛醇、β-葡聚糖</x:v>
      </x:c>
      <x:c r="I6" s="22" t="str">
        <x:v>帮助肌肤感觉柔软、滋润；补充日常保湿步骤</x:v>
      </x:c>
      <x:c r="J6" s="22" t="str">
        <x:v>用于清洁后的面部和颈部；日间之后另用防晒</x:v>
      </x:c>
      <x:c r="K6" s="22" t="str">
        <x:v>治疗干燥症/湿疹；修复屏障；消炎；零刺激；医生推荐</x:v>
      </x:c>
      <x:c r="L6" s="22" t="str">
        <x:v>data/products/product_facts.json</x:v>
      </x:c>
    </x:row>
    <x:row r="7" ht="112" customHeight="1">
      <x:c r="A7" s="22" t="str">
        <x:v>MV-HAND-001</x:v>
      </x:c>
      <x:c r="B7" s="22" t="str">
        <x:v>柔护无香护手霜</x:v>
      </x:c>
      <x:c r="C7" s="22" t="str">
        <x:v>护手霜 / hand cream / crema para manos</x:v>
      </x:c>
      <x:c r="D7" s="22" t="str">
        <x:v>60 mL</x:v>
      </x:c>
      <x:c r="E7" s="22" t="str">
        <x:v>USD 12</x:v>
      </x:c>
      <x:c r="F7" s="22" t="str">
        <x:v>MXN 239</x:v>
      </x:c>
      <x:c r="G7" s="22" t="str">
        <x:v>无添加香精；含甘油、乳木果脂、泛醇和尿囊素；软管包装</x:v>
      </x:c>
      <x:c r="H7" s="22" t="str">
        <x:v>甘油、乳木果脂、泛醇、尿囊素、生育酚</x:v>
      </x:c>
      <x:c r="I7" s="22" t="str">
        <x:v>帮助手部肌肤感觉柔软、滋润；适合日常洗手后使用</x:v>
      </x:c>
      <x:c r="J7" s="22" t="str">
        <x:v>按摩双手及指缘；按需重复；仅限外用</x:v>
      </x:c>
      <x:c r="K7" s="22" t="str">
        <x:v>治愈皲裂/伤口；抗菌；消炎；医用屏障；全天保湿</x:v>
      </x:c>
      <x:c r="L7" s="22" t="str">
        <x:v>data/products/product_facts.json</x:v>
      </x:c>
    </x:row>
    <x:row r="8" ht="112" customHeight="1">
      <x:c r="A8" s="22" t="str">
        <x:v>MV-KIT-001</x:v>
      </x:c>
      <x:c r="B8" s="22" t="str">
        <x:v>轻行基础护肤套装</x:v>
      </x:c>
      <x:c r="C8" s="22" t="str">
        <x:v>旅行护肤套装 / travel skincare set / set básico de cuidado facial para viaje</x:v>
      </x:c>
      <x:c r="D8" s="22" t="str">
        <x:v>3 pieces / 55 mL total</x:v>
      </x:c>
      <x:c r="E8" s="22" t="str">
        <x:v>USD 32</x:v>
      </x:c>
      <x:c r="F8" s="22" t="str">
        <x:v>MXN 639</x:v>
      </x:c>
      <x:c r="G8" s="22" t="str">
        <x:v>3 件迷你装；均无添加香精；纸质外盒集中收纳</x:v>
      </x:c>
      <x:c r="H8" s="22" t="str">
        <x:v>30 mL 洁面乳 + 10 mL 精华 + 15 mL 面霜；合计 55 mL</x:v>
      </x:c>
      <x:c r="I8" s="22" t="str">
        <x:v>组合基础清洁、补水和保湿步骤；便于精简携带</x:v>
      </x:c>
      <x:c r="J8" s="22" t="str">
        <x:v>洁面乳→精华→面霜；各单品用法与正装一致</x:v>
      </x:c>
      <x:c r="K8" s="22" t="str">
        <x:v>TSA/航空批准；解决所有皮肤问题；预防疾病；限量/售罄/虚构折扣</x:v>
      </x:c>
      <x:c r="L8" s="22" t="str">
        <x:v>data/products/product_facts.json</x:v>
      </x:c>
    </x:row>
  </x:sheetData>
  <x:mergeCells>
    <x:mergeCell ref="A1:L1"/>
    <x:mergeCell ref="A2:L2"/>
  </x:mergeCells>
  <x:pageMargins left="0.7" right="0.7" top="0.75" bottom="0.75" header="0.3" footer="0.3"/>
  <x:tableParts count="1">
    <x:tablePart xmlns:r="http://schemas.openxmlformats.org/officeDocument/2006/relationships" r:id="Ra0175cf028e4423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25" hidden="0" customWidth="1"/>
    <x:col min="3" max="3" width="14" hidden="0" customWidth="1"/>
    <x:col min="4" max="4" width="14" hidden="0" customWidth="1"/>
    <x:col min="5" max="5" width="33" hidden="0" customWidth="1"/>
    <x:col min="6" max="6" width="42" hidden="0" customWidth="1"/>
  </x:cols>
  <x:sheetData>
    <x:row r="1" ht="34" customHeight="1">
      <x:c r="A1" s="3" t="str">
        <x:v>Coverage QA｜30 Groups / 60 Candidates</x:v>
      </x:c>
      <x:c r="B1" s="3"/>
      <x:c r="C1" s="3"/>
      <x:c r="D1" s="3"/>
      <x:c r="E1" s="3"/>
      <x:c r="F1" s="3"/>
    </x:row>
    <x:row r="2">
      <x:c r="A2" s="6" t="str">
        <x:v>本页验证样本覆盖和盲化平衡，不包含任何版本映射。</x:v>
      </x:c>
      <x:c r="B2" s="6"/>
      <x:c r="C2" s="6"/>
      <x:c r="D2" s="6"/>
      <x:c r="E2" s="6"/>
      <x:c r="F2" s="6"/>
    </x:row>
    <x:row r="4">
      <x:c r="A4" s="16" t="str">
        <x:v>Check</x:v>
      </x:c>
      <x:c r="B4" s="45" t="str">
        <x:v>Filter Value</x:v>
      </x:c>
      <x:c r="C4" s="45" t="str">
        <x:v>Actual</x:v>
      </x:c>
      <x:c r="D4" s="45" t="str">
        <x:v>Expected</x:v>
      </x:c>
      <x:c r="E4" s="45" t="str">
        <x:v>Status</x:v>
      </x:c>
      <x:c r="F4" s="17" t="str">
        <x:v>Formula / Meaning</x:v>
      </x:c>
    </x:row>
    <x:row r="5">
      <x:c r="A5" s="22" t="str">
        <x:v>Total groups</x:v>
      </x:c>
      <x:c r="B5" s="22" t="str">
        <x:v>—</x:v>
      </x:c>
      <x:c r="C5" s="53" t="n">
        <x:f>COUNTA('Pair Progress'!$B$4:$B$33)</x:f>
        <x:v>30</x:v>
      </x:c>
      <x:c r="D5" s="53" t="n">
        <x:v>30</x:v>
      </x:c>
      <x:c r="E5" s="53" t="str">
        <x:f>IF(C5=D5,"PASS","CHECK")</x:f>
        <x:v>PASS</x:v>
      </x:c>
      <x:c r="F5" s="22" t="str">
        <x:v>30 unique blind group rows</x:v>
      </x:c>
    </x:row>
    <x:row r="6">
      <x:c r="A6" s="22" t="str">
        <x:v>Total candidates</x:v>
      </x:c>
      <x:c r="B6" s="22" t="str">
        <x:v>—</x:v>
      </x:c>
      <x:c r="C6" s="53" t="n">
        <x:f>COUNTA('Blind Review'!$B$4:$B$63)</x:f>
        <x:v>60</x:v>
      </x:c>
      <x:c r="D6" s="53" t="n">
        <x:v>60</x:v>
      </x:c>
      <x:c r="E6" s="53" t="str">
        <x:f>IF(C6=D6,"PASS","CHECK")</x:f>
        <x:v>PASS</x:v>
      </x:c>
      <x:c r="F6" s="22" t="str">
        <x:v>2 candidates per group</x:v>
      </x:c>
    </x:row>
    <x:row r="7">
      <x:c r="A7" s="22" t="str">
        <x:v>Candidate A rows</x:v>
      </x:c>
      <x:c r="B7" s="22" t="str">
        <x:v>A</x:v>
      </x:c>
      <x:c r="C7" s="53" t="n">
        <x:f>COUNTIF('Blind Review'!$G$4:$G$63,B7)</x:f>
        <x:v>30</x:v>
      </x:c>
      <x:c r="D7" s="53" t="n">
        <x:v>30</x:v>
      </x:c>
      <x:c r="E7" s="53" t="str">
        <x:f>IF(C7=D7,"PASS","CHECK")</x:f>
        <x:v>PASS</x:v>
      </x:c>
      <x:c r="F7" s="22" t="str">
        <x:v>Blind-label balance</x:v>
      </x:c>
    </x:row>
    <x:row r="8">
      <x:c r="A8" s="22" t="str">
        <x:v>Candidate B rows</x:v>
      </x:c>
      <x:c r="B8" s="22" t="str">
        <x:v>B</x:v>
      </x:c>
      <x:c r="C8" s="53" t="n">
        <x:f>COUNTIF('Blind Review'!$G$4:$G$63,B8)</x:f>
        <x:v>30</x:v>
      </x:c>
      <x:c r="D8" s="53" t="n">
        <x:v>30</x:v>
      </x:c>
      <x:c r="E8" s="53" t="str">
        <x:f>IF(C8=D8,"PASS","CHECK")</x:f>
        <x:v>PASS</x:v>
      </x:c>
      <x:c r="F8" s="22" t="str">
        <x:v>Blind-label balance</x:v>
      </x:c>
    </x:row>
    <x:row r="9">
      <x:c r="A9" s="22" t="str">
        <x:v>English candidates</x:v>
      </x:c>
      <x:c r="B9" s="22" t="str">
        <x:v>en-US</x:v>
      </x:c>
      <x:c r="C9" s="53" t="n">
        <x:f>COUNTIF('Blind Review'!$E$4:$E$63,B9)</x:f>
        <x:v>30</x:v>
      </x:c>
      <x:c r="D9" s="53" t="n">
        <x:v>30</x:v>
      </x:c>
      <x:c r="E9" s="53" t="str">
        <x:f>IF(C9=D9,"PASS","CHECK")</x:f>
        <x:v>PASS</x:v>
      </x:c>
      <x:c r="F9" s="22" t="str">
        <x:v>15 groups × 2 candidates</x:v>
      </x:c>
    </x:row>
    <x:row r="10">
      <x:c r="A10" s="22" t="str">
        <x:v>Spanish candidates</x:v>
      </x:c>
      <x:c r="B10" s="22" t="str">
        <x:v>es-MX</x:v>
      </x:c>
      <x:c r="C10" s="53" t="n">
        <x:f>COUNTIF('Blind Review'!$E$4:$E$63,B10)</x:f>
        <x:v>30</x:v>
      </x:c>
      <x:c r="D10" s="53" t="n">
        <x:v>30</x:v>
      </x:c>
      <x:c r="E10" s="53" t="str">
        <x:f>IF(C10=D10,"PASS","CHECK")</x:f>
        <x:v>PASS</x:v>
      </x:c>
      <x:c r="F10" s="22" t="str">
        <x:v>15 groups × 2 candidates</x:v>
      </x:c>
    </x:row>
    <x:row r="11">
      <x:c r="A11" s="22" t="str">
        <x:v>Listing candidates</x:v>
      </x:c>
      <x:c r="B11" s="22" t="str">
        <x:v>product_listing</x:v>
      </x:c>
      <x:c r="C11" s="53" t="n">
        <x:f>COUNTIF('Blind Review'!$F$4:$F$63,B11)</x:f>
        <x:v>20</x:v>
      </x:c>
      <x:c r="D11" s="53" t="n">
        <x:v>20</x:v>
      </x:c>
      <x:c r="E11" s="53" t="str">
        <x:f>IF(C11=D11,"PASS","CHECK")</x:f>
        <x:v>PASS</x:v>
      </x:c>
      <x:c r="F11" s="22" t="str">
        <x:v>10 groups × 2 candidates</x:v>
      </x:c>
    </x:row>
    <x:row r="12">
      <x:c r="A12" s="22" t="str">
        <x:v>Video candidates</x:v>
      </x:c>
      <x:c r="B12" s="22" t="str">
        <x:v>short_video_script</x:v>
      </x:c>
      <x:c r="C12" s="53" t="n">
        <x:f>COUNTIF('Blind Review'!$F$4:$F$63,B12)</x:f>
        <x:v>20</x:v>
      </x:c>
      <x:c r="D12" s="53" t="n">
        <x:v>20</x:v>
      </x:c>
      <x:c r="E12" s="53" t="str">
        <x:f>IF(C12=D12,"PASS","CHECK")</x:f>
        <x:v>PASS</x:v>
      </x:c>
      <x:c r="F12" s="22" t="str">
        <x:v>10 groups × 2 candidates</x:v>
      </x:c>
    </x:row>
    <x:row r="13">
      <x:c r="A13" s="22" t="str">
        <x:v>Social candidates</x:v>
      </x:c>
      <x:c r="B13" s="22" t="str">
        <x:v>social_ad_copy</x:v>
      </x:c>
      <x:c r="C13" s="53" t="n">
        <x:f>COUNTIF('Blind Review'!$F$4:$F$63,B13)</x:f>
        <x:v>20</x:v>
      </x:c>
      <x:c r="D13" s="53" t="n">
        <x:v>20</x:v>
      </x:c>
      <x:c r="E13" s="53" t="str">
        <x:f>IF(C13=D13,"PASS","CHECK")</x:f>
        <x:v>PASS</x:v>
      </x:c>
      <x:c r="F13" s="22" t="str">
        <x:v>10 groups × 2 candidates</x:v>
      </x:c>
    </x:row>
    <x:row r="16">
      <x:c r="A16" s="16" t="str">
        <x:v>SKU</x:v>
      </x:c>
      <x:c r="B16" s="45" t="str">
        <x:v>Actual Candidate Rows</x:v>
      </x:c>
      <x:c r="C16" s="45" t="str">
        <x:v>Expected</x:v>
      </x:c>
      <x:c r="D16" s="45" t="str">
        <x:v>Status</x:v>
      </x:c>
      <x:c r="E16" s="45" t="str">
        <x:v>Languages</x:v>
      </x:c>
      <x:c r="F16" s="17" t="str">
        <x:v>Content Types</x:v>
      </x:c>
    </x:row>
    <x:row r="17">
      <x:c r="A17" s="22" t="str">
        <x:v>MV-CLEAN-001</x:v>
      </x:c>
      <x:c r="B17" s="53" t="n">
        <x:f>COUNTIF('Blind Review'!$D$4:$D$63,A17)</x:f>
        <x:v>12</x:v>
      </x:c>
      <x:c r="C17" s="53" t="n">
        <x:v>12</x:v>
      </x:c>
      <x:c r="D17" s="53" t="str">
        <x:f>IF(B17=C17,"PASS","CHECK")</x:f>
        <x:v>PASS</x:v>
      </x:c>
      <x:c r="E17" s="22" t="str">
        <x:v>en-US + es-MX</x:v>
      </x:c>
      <x:c r="F17" s="22" t="str">
        <x:v>listing + video + social</x:v>
      </x:c>
    </x:row>
    <x:row r="18">
      <x:c r="A18" s="22" t="str">
        <x:v>MV-SERUM-001</x:v>
      </x:c>
      <x:c r="B18" s="53" t="n">
        <x:f>COUNTIF('Blind Review'!$D$4:$D$63,A18)</x:f>
        <x:v>12</x:v>
      </x:c>
      <x:c r="C18" s="53" t="n">
        <x:v>12</x:v>
      </x:c>
      <x:c r="D18" s="53" t="str">
        <x:f>IF(B18=C18,"PASS","CHECK")</x:f>
        <x:v>PASS</x:v>
      </x:c>
      <x:c r="E18" s="22" t="str">
        <x:v>en-US + es-MX</x:v>
      </x:c>
      <x:c r="F18" s="22" t="str">
        <x:v>listing + video + social</x:v>
      </x:c>
    </x:row>
    <x:row r="19">
      <x:c r="A19" s="22" t="str">
        <x:v>MV-CREAM-001</x:v>
      </x:c>
      <x:c r="B19" s="53" t="n">
        <x:f>COUNTIF('Blind Review'!$D$4:$D$63,A19)</x:f>
        <x:v>12</x:v>
      </x:c>
      <x:c r="C19" s="53" t="n">
        <x:v>12</x:v>
      </x:c>
      <x:c r="D19" s="53" t="str">
        <x:f>IF(B19=C19,"PASS","CHECK")</x:f>
        <x:v>PASS</x:v>
      </x:c>
      <x:c r="E19" s="22" t="str">
        <x:v>en-US + es-MX</x:v>
      </x:c>
      <x:c r="F19" s="22" t="str">
        <x:v>listing + video + social</x:v>
      </x:c>
    </x:row>
    <x:row r="20">
      <x:c r="A20" s="22" t="str">
        <x:v>MV-HAND-001</x:v>
      </x:c>
      <x:c r="B20" s="53" t="n">
        <x:f>COUNTIF('Blind Review'!$D$4:$D$63,A20)</x:f>
        <x:v>12</x:v>
      </x:c>
      <x:c r="C20" s="53" t="n">
        <x:v>12</x:v>
      </x:c>
      <x:c r="D20" s="53" t="str">
        <x:f>IF(B20=C20,"PASS","CHECK")</x:f>
        <x:v>PASS</x:v>
      </x:c>
      <x:c r="E20" s="22" t="str">
        <x:v>en-US + es-MX</x:v>
      </x:c>
      <x:c r="F20" s="22" t="str">
        <x:v>listing + video + social</x:v>
      </x:c>
    </x:row>
    <x:row r="21">
      <x:c r="A21" s="22" t="str">
        <x:v>MV-KIT-001</x:v>
      </x:c>
      <x:c r="B21" s="53" t="n">
        <x:f>COUNTIF('Blind Review'!$D$4:$D$63,A21)</x:f>
        <x:v>12</x:v>
      </x:c>
      <x:c r="C21" s="53" t="n">
        <x:v>12</x:v>
      </x:c>
      <x:c r="D21" s="53" t="str">
        <x:f>IF(B21=C21,"PASS","CHECK")</x:f>
        <x:v>PASS</x:v>
      </x:c>
      <x:c r="E21" s="22" t="str">
        <x:v>en-US + es-MX</x:v>
      </x:c>
      <x:c r="F21" s="22" t="str">
        <x:v>listing + video + social</x:v>
      </x:c>
    </x:row>
    <x:row r="24">
      <x:c r="A24" s="16" t="str">
        <x:v>Human Completion Check</x:v>
      </x:c>
      <x:c r="B24" s="45" t="str">
        <x:v>Actual</x:v>
      </x:c>
      <x:c r="C24" s="45" t="str">
        <x:v>Expected</x:v>
      </x:c>
      <x:c r="D24" s="45" t="str">
        <x:v>Status</x:v>
      </x:c>
      <x:c r="E24" s="45" t="str">
        <x:v>Meaning</x:v>
      </x:c>
      <x:c r="F24" s="17" t="str">
        <x:v>Next Action</x:v>
      </x:c>
    </x:row>
    <x:row r="25">
      <x:c r="A25" s="22" t="str">
        <x:v>Completed candidates</x:v>
      </x:c>
      <x:c r="B25" s="53" t="n">
        <x:f>COUNTIF('Blind Review'!$Y$4:$Y$63,"Reviewed")+COUNTIF('Blind Review'!$Y$4:$Y$63,"Failure")</x:f>
        <x:v>60</x:v>
      </x:c>
      <x:c r="C25" s="53" t="n">
        <x:v>60</x:v>
      </x:c>
      <x:c r="D25" s="53" t="str">
        <x:f>IF(B25&gt;=C25,"PASS","PENDING")</x:f>
        <x:v>PASS</x:v>
      </x:c>
      <x:c r="E25" s="22" t="str">
        <x:v>All candidate rows scored</x:v>
      </x:c>
      <x:c r="F25" s="22" t="str">
        <x:v>Continue blind review</x:v>
      </x:c>
    </x:row>
    <x:row r="26">
      <x:c r="A26" s="22" t="str">
        <x:v>Completed pairs</x:v>
      </x:c>
      <x:c r="B26" s="53" t="n">
        <x:f>COUNTIF('Pair Progress'!$R$4:$R$33,"Complete")</x:f>
        <x:v>30</x:v>
      </x:c>
      <x:c r="C26" s="53" t="n">
        <x:v>30</x:v>
      </x:c>
      <x:c r="D26" s="53" t="str">
        <x:f>IF(B26&gt;=C26,"PASS","PENDING")</x:f>
        <x:v>PASS</x:v>
      </x:c>
      <x:c r="E26" s="22" t="str">
        <x:v>Both candidates scored in every group</x:v>
      </x:c>
      <x:c r="F26" s="22" t="str">
        <x:v>Continue blind review</x:v>
      </x:c>
    </x:row>
    <x:row r="27">
      <x:c r="A27" s="22" t="str">
        <x:v>Failure cases available</x:v>
      </x:c>
      <x:c r="B27" s="53" t="n">
        <x:f>COUNTIF('Blind Review'!$Y$4:$Y$63,"Failure")</x:f>
        <x:v>30</x:v>
      </x:c>
      <x:c r="C27" s="53" t="n">
        <x:v>5</x:v>
      </x:c>
      <x:c r="D27" s="53" t="str">
        <x:f>IF(B27&gt;=C27,"PASS","PENDING")</x:f>
        <x:v>PASS</x:v>
      </x:c>
      <x:c r="E27" s="22" t="str">
        <x:v>At least 5 actual failures required</x:v>
      </x:c>
      <x:c r="F27" s="22" t="str">
        <x:v>Score first; do not invent failures</x:v>
      </x:c>
    </x:row>
  </x:sheetData>
  <x:mergeCells>
    <x:mergeCell ref="A1:F1"/>
    <x:mergeCell ref="A2:F2"/>
  </x:mergeCells>
  <x:conditionalFormatting sqref="E5:E13">
    <x:cfRule type="containsText" dxfId="7" priority="1" operator="containsText" text="PASS"/>
  </x:conditionalFormatting>
  <x:conditionalFormatting sqref="D17:D21">
    <x:cfRule type="containsText" dxfId="8" priority="2" operator="containsText" text="PASS"/>
  </x:conditionalFormatting>
  <x:conditionalFormatting sqref="D25:D27">
    <x:cfRule type="containsText" dxfId="9" priority="3" operator="containsText" text="PASS"/>
    <x:cfRule type="containsText" dxfId="10" priority="4" operator="containsText" text="PENDING"/>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17" hidden="0" customWidth="1"/>
    <x:col min="5" max="5" width="23" hidden="0" customWidth="1"/>
    <x:col min="6" max="6" width="18" hidden="0" customWidth="1"/>
    <x:col min="7" max="7" width="3" hidden="0" customWidth="1"/>
    <x:col min="8" max="8" width="14" hidden="0" customWidth="1"/>
    <x:col min="9" max="9" width="15" hidden="0" customWidth="1"/>
    <x:col min="10" max="10" width="18" hidden="0" customWidth="1"/>
    <x:col min="11" max="11" width="17" hidden="0" customWidth="1"/>
    <x:col min="12" max="12" width="16" hidden="0" customWidth="1"/>
    <x:col min="13" max="13" width="3" hidden="0" customWidth="1"/>
    <x:col min="14" max="14" width="3" hidden="0" customWidth="1"/>
  </x:cols>
  <x:sheetData>
    <x:row r="1" ht="38" customHeight="1">
      <x:c r="A1" s="64" t="str">
        <x:v>LocalizeFlow｜Human Evaluation Results</x:v>
      </x:c>
      <x:c r="B1" s="64"/>
      <x:c r="C1" s="64"/>
      <x:c r="D1" s="64"/>
      <x:c r="E1" s="64"/>
      <x:c r="F1" s="64"/>
      <x:c r="G1" s="64"/>
      <x:c r="H1" s="64"/>
      <x:c r="I1" s="64"/>
      <x:c r="J1" s="64"/>
      <x:c r="K1" s="64"/>
      <x:c r="L1" s="64"/>
      <x:c r="M1" s="64"/>
      <x:c r="N1" s="64"/>
    </x:row>
    <x:row r="2">
      <x:c r="A2" s="67" t="str">
        <x:v>Actual blind scores: 60/60 candidates, 30/30 pairs. Scores were revealed only after completion and reconciled to the independent key.</x:v>
      </x:c>
      <x:c r="B2" s="67"/>
      <x:c r="C2" s="67"/>
      <x:c r="D2" s="67"/>
      <x:c r="E2" s="67"/>
      <x:c r="F2" s="67"/>
      <x:c r="G2" s="67"/>
      <x:c r="H2" s="67"/>
      <x:c r="I2" s="67"/>
      <x:c r="J2" s="67"/>
      <x:c r="K2" s="67"/>
      <x:c r="L2" s="67"/>
      <x:c r="M2" s="67"/>
      <x:c r="N2" s="67"/>
    </x:row>
    <x:row r="4" ht="28" customHeight="1">
      <x:c r="A4" s="97" t="str">
        <x:v>Overall Mean Uplift</x:v>
      </x:c>
      <x:c r="B4" s="97"/>
      <x:c r="C4" s="97" t="str">
        <x:v>Fact Pass Δ</x:v>
      </x:c>
      <x:c r="D4" s="97"/>
      <x:c r="E4" s="97" t="str">
        <x:v>Modification Reduction</x:v>
      </x:c>
      <x:c r="F4" s="97"/>
      <x:c r="G4" s="97" t="str">
        <x:v>Review Time Saved</x:v>
      </x:c>
      <x:c r="H4" s="97"/>
      <x:c r="I4" s="97" t="str">
        <x:v>LocalizeFlow Pair Wins</x:v>
      </x:c>
      <x:c r="J4" s="97"/>
      <x:c r="K4" s="97" t="str">
        <x:v>Actual Failure Cases</x:v>
      </x:c>
      <x:c r="L4" s="97"/>
    </x:row>
    <x:row r="5" ht="28" customHeight="1">
      <x:c r="A5" s="112" t="n">
        <x:f>('Results Detail'!$L$5-'Results Detail'!$L$4)/'Results Detail'!$L$4</x:f>
        <x:v>0.5085616438356169</x:v>
      </x:c>
      <x:c r="B5" s="113"/>
      <x:c r="C5" s="124" t="n">
        <x:f>100*('Results Detail'!$D$5-'Results Detail'!$D$4)</x:f>
        <x:v>26.66666666666666</x:v>
      </x:c>
      <x:c r="D5" s="125"/>
      <x:c r="E5" s="112" t="n">
        <x:f>('Results Detail'!$M$4-'Results Detail'!$M$5)/'Results Detail'!$M$4</x:f>
        <x:v>0.6146788990825688</x:v>
      </x:c>
      <x:c r="F5" s="113"/>
      <x:c r="G5" s="112" t="n">
        <x:f>('Results Detail'!$N$4-'Results Detail'!$N$5)/'Results Detail'!$N$4</x:f>
        <x:v>0.2578947368421052</x:v>
      </x:c>
      <x:c r="H5" s="113"/>
      <x:c r="I5" s="136" t="n">
        <x:f>COUNTIF('Results Detail'!$W$4:$W$33,"LocalizeFlow")</x:f>
        <x:v>30</x:v>
      </x:c>
      <x:c r="J5" s="137"/>
      <x:c r="K5" s="136" t="n">
        <x:f>COUNTIF('Revealed Data'!$AB$4:$AB$63,"Failure")</x:f>
        <x:v>30</x:v>
      </x:c>
      <x:c r="L5" s="137"/>
    </x:row>
    <x:row r="6" ht="28" customHeight="1">
      <x:c r="A6" s="114"/>
      <x:c r="B6" s="115"/>
      <x:c r="C6" s="126"/>
      <x:c r="D6" s="127"/>
      <x:c r="E6" s="114"/>
      <x:c r="F6" s="115"/>
      <x:c r="G6" s="114"/>
      <x:c r="H6" s="115"/>
      <x:c r="I6" s="138"/>
      <x:c r="J6" s="139"/>
      <x:c r="K6" s="138"/>
      <x:c r="L6" s="139"/>
    </x:row>
    <x:row r="9">
      <x:c r="A9" s="79" t="str">
        <x:v>Metric</x:v>
      </x:c>
      <x:c r="B9" s="80" t="str">
        <x:v>Baseline</x:v>
      </x:c>
      <x:c r="C9" s="80" t="str">
        <x:v>LocalizeFlow</x:v>
      </x:c>
      <x:c r="D9" s="80" t="str">
        <x:v>Absolute Change</x:v>
      </x:c>
      <x:c r="E9" s="80" t="str">
        <x:v>Relative Change / Reduction</x:v>
      </x:c>
      <x:c r="F9" s="81" t="str">
        <x:v>Direction</x:v>
      </x:c>
      <x:c r="H9" s="79" t="str">
        <x:v>Language</x:v>
      </x:c>
      <x:c r="I9" s="80" t="str">
        <x:v>Baseline Mean</x:v>
      </x:c>
      <x:c r="J9" s="80" t="str">
        <x:v>LocalizeFlow Mean</x:v>
      </x:c>
      <x:c r="K9" s="80" t="str">
        <x:v>Absolute Uplift</x:v>
      </x:c>
      <x:c r="L9" s="81" t="str">
        <x:v>Relative Uplift</x:v>
      </x:c>
    </x:row>
    <x:row r="10">
      <x:c r="A10" s="83" t="str">
        <x:v>Overall Mean</x:v>
      </x:c>
      <x:c r="B10" s="92" t="n">
        <x:f>'Results Detail'!$L$4</x:f>
        <x:v>2.7809523809523804</x:v>
      </x:c>
      <x:c r="C10" s="92" t="n">
        <x:f>'Results Detail'!$L$5</x:f>
        <x:v>4.195238095238095</x:v>
      </x:c>
      <x:c r="D10" s="92" t="n">
        <x:f>C10-B10</x:f>
        <x:v>1.414285714285715</x:v>
      </x:c>
      <x:c r="E10" s="91" t="n">
        <x:f>D10/B10</x:f>
        <x:v>0.5085616438356169</x:v>
      </x:c>
      <x:c r="F10" s="83" t="str">
        <x:v>Higher is better</x:v>
      </x:c>
      <x:c r="H10" s="83" t="str">
        <x:v>Overall</x:v>
      </x:c>
      <x:c r="I10" s="92" t="n">
        <x:f>'Results Detail'!$L$4</x:f>
        <x:v>2.7809523809523804</x:v>
      </x:c>
      <x:c r="J10" s="92" t="n">
        <x:f>'Results Detail'!$L$5</x:f>
        <x:v>4.195238095238095</x:v>
      </x:c>
      <x:c r="K10" s="92" t="n">
        <x:f>J10-I10</x:f>
        <x:v>1.414285714285715</x:v>
      </x:c>
      <x:c r="L10" s="91" t="n">
        <x:f>K10/I10</x:f>
        <x:v>0.5085616438356169</x:v>
      </x:c>
    </x:row>
    <x:row r="11">
      <x:c r="A11" s="83" t="str">
        <x:v>Fact Pass Rate</x:v>
      </x:c>
      <x:c r="B11" s="91" t="n">
        <x:f>'Results Detail'!$D$4</x:f>
        <x:v>0.4</x:v>
      </x:c>
      <x:c r="C11" s="91" t="n">
        <x:f>'Results Detail'!$D$5</x:f>
        <x:v>0.6666666666666666</x:v>
      </x:c>
      <x:c r="D11" s="91" t="n">
        <x:f>C11-B11</x:f>
        <x:v>0.2666666666666666</x:v>
      </x:c>
      <x:c r="E11" s="91" t="n">
        <x:f>D11/B11</x:f>
        <x:v>0.6666666666666665</x:v>
      </x:c>
      <x:c r="F11" s="83" t="str">
        <x:v>Higher is better</x:v>
      </x:c>
      <x:c r="H11" s="83" t="str">
        <x:v>en-US</x:v>
      </x:c>
      <x:c r="I11" s="92" t="n">
        <x:f>'Results Detail'!$L$6</x:f>
        <x:v>2.819047619047619</x:v>
      </x:c>
      <x:c r="J11" s="92" t="n">
        <x:f>'Results Detail'!$L$7</x:f>
        <x:v>4.161904761904761</x:v>
      </x:c>
      <x:c r="K11" s="92" t="n">
        <x:f>J11-I11</x:f>
        <x:v>1.3428571428571425</x:v>
      </x:c>
      <x:c r="L11" s="91" t="n">
        <x:f>K11/I11</x:f>
        <x:v>0.47635135135135126</x:v>
      </x:c>
    </x:row>
    <x:row r="12">
      <x:c r="A12" s="83" t="str">
        <x:v>Modification Count</x:v>
      </x:c>
      <x:c r="B12" s="92" t="n">
        <x:f>'Results Detail'!$M$4</x:f>
        <x:v>3.6333333333333333</x:v>
      </x:c>
      <x:c r="C12" s="92" t="n">
        <x:f>'Results Detail'!$M$5</x:f>
        <x:v>1.4</x:v>
      </x:c>
      <x:c r="D12" s="92" t="n">
        <x:f>C12-B12</x:f>
        <x:v>-2.2333333333333334</x:v>
      </x:c>
      <x:c r="E12" s="91" t="n">
        <x:f>(B12-C12)/B12</x:f>
        <x:v>0.6146788990825688</x:v>
      </x:c>
      <x:c r="F12" s="83" t="str">
        <x:v>Lower is better</x:v>
      </x:c>
      <x:c r="H12" s="83" t="str">
        <x:v>es-MX</x:v>
      </x:c>
      <x:c r="I12" s="92" t="n">
        <x:f>'Results Detail'!$L$8</x:f>
        <x:v>2.742857142857143</x:v>
      </x:c>
      <x:c r="J12" s="92" t="n">
        <x:f>'Results Detail'!$L$9</x:f>
        <x:v>4.2285714285714295</x:v>
      </x:c>
      <x:c r="K12" s="92" t="n">
        <x:f>J12-I12</x:f>
        <x:v>1.4857142857142867</x:v>
      </x:c>
      <x:c r="L12" s="91" t="n">
        <x:f>K12/I12</x:f>
        <x:v>0.541666666666667</x:v>
      </x:c>
    </x:row>
    <x:row r="13">
      <x:c r="A13" s="83" t="str">
        <x:v>Review Minutes</x:v>
      </x:c>
      <x:c r="B13" s="92" t="n">
        <x:f>'Results Detail'!$N$4</x:f>
        <x:v>6.333333333333333</x:v>
      </x:c>
      <x:c r="C13" s="92" t="n">
        <x:f>'Results Detail'!$N$5</x:f>
        <x:v>4.7</x:v>
      </x:c>
      <x:c r="D13" s="92" t="n">
        <x:f>C13-B13</x:f>
        <x:v>-1.6333333333333329</x:v>
      </x:c>
      <x:c r="E13" s="91" t="n">
        <x:f>(B13-C13)/B13</x:f>
        <x:v>0.2578947368421052</x:v>
      </x:c>
      <x:c r="F13" s="83" t="str">
        <x:v>Lower is better</x:v>
      </x:c>
    </x:row>
    <x:row r="34">
      <x:c r="A34" s="155" t="str">
        <x:v>Chart source tables below are formula-linked to Results Detail.</x:v>
      </x:c>
      <x:c r="B34" s="155"/>
      <x:c r="C34" s="155"/>
      <x:c r="D34" s="155"/>
      <x:c r="E34" s="155"/>
      <x:c r="F34" s="155"/>
      <x:c r="G34" s="155"/>
      <x:c r="H34" s="155"/>
      <x:c r="I34" s="155"/>
      <x:c r="J34" s="155"/>
      <x:c r="K34" s="155"/>
      <x:c r="L34" s="155"/>
      <x:c r="M34" s="155"/>
      <x:c r="N34" s="155"/>
    </x:row>
    <x:row r="35">
      <x:c r="A35" s="151" t="str">
        <x:v>Dimension</x:v>
      </x:c>
      <x:c r="B35" s="152" t="str">
        <x:v>Baseline</x:v>
      </x:c>
      <x:c r="C35" s="153" t="str">
        <x:v>LocalizeFlow</x:v>
      </x:c>
      <x:c r="H35" s="151" t="str">
        <x:v>Language</x:v>
      </x:c>
      <x:c r="I35" s="152" t="str">
        <x:v>Baseline</x:v>
      </x:c>
      <x:c r="J35" s="153" t="str">
        <x:v>LocalizeFlow</x:v>
      </x:c>
    </x:row>
    <x:row r="36">
      <x:c r="A36" s="83" t="str">
        <x:v>Information</x:v>
      </x:c>
      <x:c r="B36" s="154" t="n">
        <x:f>'Results Detail'!$E$4</x:f>
        <x:v>3.3333333333333335</x:v>
      </x:c>
      <x:c r="C36" s="154" t="n">
        <x:f>'Results Detail'!$E$5</x:f>
        <x:v>4.266666666666667</x:v>
      </x:c>
      <x:c r="H36" s="83" t="str">
        <x:v>en-US</x:v>
      </x:c>
      <x:c r="I36" s="154" t="n">
        <x:f>'Results Detail'!$L$6</x:f>
        <x:v>2.819047619047619</x:v>
      </x:c>
      <x:c r="J36" s="154" t="n">
        <x:f>'Results Detail'!$L$7</x:f>
        <x:v>4.161904761904761</x:v>
      </x:c>
    </x:row>
    <x:row r="37">
      <x:c r="A37" s="83" t="str">
        <x:v>Naturalness</x:v>
      </x:c>
      <x:c r="B37" s="154" t="n">
        <x:f>'Results Detail'!$F$4</x:f>
        <x:v>2.7666666666666666</x:v>
      </x:c>
      <x:c r="C37" s="154" t="n">
        <x:f>'Results Detail'!$F$5</x:f>
        <x:v>4.833333333333333</x:v>
      </x:c>
      <x:c r="H37" s="83" t="str">
        <x:v>es-MX</x:v>
      </x:c>
      <x:c r="I37" s="154" t="n">
        <x:f>'Results Detail'!$L$8</x:f>
        <x:v>2.742857142857143</x:v>
      </x:c>
      <x:c r="J37" s="154" t="n">
        <x:f>'Results Detail'!$L$9</x:f>
        <x:v>4.2285714285714295</x:v>
      </x:c>
    </x:row>
    <x:row r="38">
      <x:c r="A38" s="83" t="str">
        <x:v>Cultural Fit</x:v>
      </x:c>
      <x:c r="B38" s="154" t="n">
        <x:f>'Results Detail'!$G$4</x:f>
        <x:v>2.933333333333333</x:v>
      </x:c>
      <x:c r="C38" s="154" t="n">
        <x:f>'Results Detail'!$G$5</x:f>
        <x:v>4.3</x:v>
      </x:c>
    </x:row>
    <x:row r="39">
      <x:c r="A39" s="83" t="str">
        <x:v>Brand</x:v>
      </x:c>
      <x:c r="B39" s="154" t="n">
        <x:f>'Results Detail'!$H$4</x:f>
        <x:v>2.8</x:v>
      </x:c>
      <x:c r="C39" s="154" t="n">
        <x:f>'Results Detail'!$H$5</x:f>
        <x:v>4.666666666666667</x:v>
      </x:c>
    </x:row>
    <x:row r="40">
      <x:c r="A40" s="83" t="str">
        <x:v>Platform</x:v>
      </x:c>
      <x:c r="B40" s="154" t="n">
        <x:f>'Results Detail'!$I$4</x:f>
        <x:v>2.6666666666666665</x:v>
      </x:c>
      <x:c r="C40" s="154" t="n">
        <x:f>'Results Detail'!$I$5</x:f>
        <x:v>4</x:v>
      </x:c>
    </x:row>
    <x:row r="41">
      <x:c r="A41" s="83" t="str">
        <x:v>Marketing</x:v>
      </x:c>
      <x:c r="B41" s="154" t="n">
        <x:f>'Results Detail'!$J$4</x:f>
        <x:v>2.6666666666666665</x:v>
      </x:c>
      <x:c r="C41" s="154" t="n">
        <x:f>'Results Detail'!$J$5</x:f>
        <x:v>4</x:v>
      </x:c>
    </x:row>
    <x:row r="42">
      <x:c r="A42" s="83" t="str">
        <x:v>Publishability</x:v>
      </x:c>
      <x:c r="B42" s="154" t="n">
        <x:f>'Results Detail'!$K$4</x:f>
        <x:v>2.3</x:v>
      </x:c>
      <x:c r="C42" s="154" t="n">
        <x:f>'Results Detail'!$K$5</x:f>
        <x:v>3.3</x:v>
      </x:c>
    </x:row>
  </x:sheetData>
  <x:mergeCells>
    <x:mergeCell ref="A1:N1"/>
    <x:mergeCell ref="A2:N2"/>
    <x:mergeCell ref="A4:B4"/>
    <x:mergeCell ref="A5:B6"/>
    <x:mergeCell ref="C4:D4"/>
    <x:mergeCell ref="C5:D6"/>
    <x:mergeCell ref="E4:F4"/>
    <x:mergeCell ref="E5:F6"/>
    <x:mergeCell ref="G4:H4"/>
    <x:mergeCell ref="G5:H6"/>
    <x:mergeCell ref="I4:J4"/>
    <x:mergeCell ref="I5:J6"/>
    <x:mergeCell ref="K4:L4"/>
    <x:mergeCell ref="K5:L6"/>
  </x:mergeCells>
  <x:pageMargins left="0.7" right="0.7" top="0.75" bottom="0.75" header="0.3" footer="0.3"/>
  <x:drawing xmlns:r="http://schemas.openxmlformats.org/officeDocument/2006/relationships" r:id="Rf00bae28d7094247"/>
  <x:tableParts count="2">
    <x:tablePart xmlns:r="http://schemas.openxmlformats.org/officeDocument/2006/relationships" r:id="R0bb9719cb6774c97"/>
    <x:tablePart xmlns:r="http://schemas.openxmlformats.org/officeDocument/2006/relationships" r:id="R20fa184ba7e748c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8" hidden="0" customWidth="1"/>
    <x:col min="4" max="4" width="15" hidden="0" customWidth="1"/>
    <x:col min="5" max="5" width="20" hidden="0" customWidth="1"/>
    <x:col min="6" max="6" width="19" hidden="0" customWidth="1"/>
    <x:col min="7" max="7" width="14" hidden="0" customWidth="1"/>
    <x:col min="8" max="8" width="17" hidden="0" customWidth="1"/>
    <x:col min="9" max="9" width="14" hidden="0" customWidth="1"/>
    <x:col min="10" max="10" width="22" hidden="0" customWidth="1"/>
    <x:col min="11" max="11" width="14" hidden="0" customWidth="1"/>
    <x:col min="12" max="12" width="13" hidden="0" customWidth="1"/>
    <x:col min="13" max="13" width="18" hidden="0" customWidth="1"/>
    <x:col min="14" max="14" width="15" hidden="0" customWidth="1"/>
    <x:col min="15" max="15" width="18" hidden="0" customWidth="1"/>
    <x:col min="16" max="16" width="3" hidden="0" customWidth="1"/>
    <x:col min="17" max="17" width="3" hidden="0" customWidth="1"/>
    <x:col min="18" max="18" width="11" hidden="0" customWidth="1"/>
    <x:col min="19" max="19" width="11" hidden="0" customWidth="1"/>
    <x:col min="20" max="20" width="22" hidden="0" customWidth="1"/>
    <x:col min="21" max="21" width="15" hidden="0" customWidth="1"/>
    <x:col min="22" max="22" width="18" hidden="0" customWidth="1"/>
    <x:col min="23" max="23" width="16" hidden="0" customWidth="1"/>
  </x:cols>
  <x:sheetData>
    <x:row r="1" ht="38" customHeight="1">
      <x:c r="A1" s="64" t="str">
        <x:v>Results Detail｜Formula-Driven A/B Analysis</x:v>
      </x:c>
      <x:c r="B1" s="64"/>
      <x:c r="C1" s="64"/>
      <x:c r="D1" s="64"/>
      <x:c r="E1" s="64"/>
      <x:c r="F1" s="64"/>
      <x:c r="G1" s="64"/>
      <x:c r="H1" s="64"/>
      <x:c r="I1" s="64"/>
      <x:c r="J1" s="64"/>
      <x:c r="K1" s="64"/>
      <x:c r="L1" s="64"/>
      <x:c r="M1" s="64"/>
      <x:c r="N1" s="64"/>
      <x:c r="O1" s="64"/>
      <x:c r="P1" s="64"/>
      <x:c r="Q1" s="64"/>
      <x:c r="R1" s="64"/>
      <x:c r="S1" s="64"/>
      <x:c r="T1" s="64"/>
      <x:c r="U1" s="64"/>
      <x:c r="V1" s="64"/>
      <x:c r="W1" s="64"/>
    </x:row>
    <x:row r="2">
      <x:c r="A2" s="67" t="str">
        <x:v>All averages and rates are calculated from Revealed Data. Overall rows use n=30 per version; each language uses n=15 per version.</x:v>
      </x:c>
      <x:c r="B2" s="67"/>
      <x:c r="C2" s="67"/>
      <x:c r="D2" s="67"/>
      <x:c r="E2" s="67"/>
      <x:c r="F2" s="67"/>
      <x:c r="G2" s="67"/>
      <x:c r="H2" s="67"/>
      <x:c r="I2" s="67"/>
      <x:c r="J2" s="67"/>
      <x:c r="K2" s="67"/>
      <x:c r="L2" s="67"/>
      <x:c r="M2" s="67"/>
      <x:c r="N2" s="67"/>
      <x:c r="O2" s="67"/>
      <x:c r="P2" s="67"/>
      <x:c r="Q2" s="67"/>
      <x:c r="R2" s="67"/>
      <x:c r="S2" s="67"/>
      <x:c r="T2" s="67"/>
      <x:c r="U2" s="67"/>
      <x:c r="V2" s="67"/>
      <x:c r="W2" s="67"/>
    </x:row>
    <x:row r="3" ht="30" customHeight="1">
      <x:c r="A3" s="79" t="str">
        <x:v>Language</x:v>
      </x:c>
      <x:c r="B3" s="80" t="str">
        <x:v>Version</x:v>
      </x:c>
      <x:c r="C3" s="80" t="str">
        <x:v>N</x:v>
      </x:c>
      <x:c r="D3" s="80" t="str">
        <x:v>Fact Pass Rate</x:v>
      </x:c>
      <x:c r="E3" s="80" t="str">
        <x:v>Information Completeness</x:v>
      </x:c>
      <x:c r="F3" s="80" t="str">
        <x:v>Language Naturalness</x:v>
      </x:c>
      <x:c r="G3" s="80" t="str">
        <x:v>Cultural Fit</x:v>
      </x:c>
      <x:c r="H3" s="80" t="str">
        <x:v>Brand Consistency</x:v>
      </x:c>
      <x:c r="I3" s="80" t="str">
        <x:v>Platform Fit</x:v>
      </x:c>
      <x:c r="J3" s="80" t="str">
        <x:v>Marketing Persuasiveness</x:v>
      </x:c>
      <x:c r="K3" s="80" t="str">
        <x:v>Publishability</x:v>
      </x:c>
      <x:c r="L3" s="80" t="str">
        <x:v>Overall Mean</x:v>
      </x:c>
      <x:c r="M3" s="80" t="str">
        <x:v>Modification Count</x:v>
      </x:c>
      <x:c r="N3" s="80" t="str">
        <x:v>Review Minutes</x:v>
      </x:c>
      <x:c r="O3" s="81" t="str">
        <x:v>Threshold Failures</x:v>
      </x:c>
      <x:c r="R3" s="79" t="str">
        <x:v>Group ID</x:v>
      </x:c>
      <x:c r="S3" s="80" t="str">
        <x:v>Language</x:v>
      </x:c>
      <x:c r="T3" s="80" t="str">
        <x:v>Content Type</x:v>
      </x:c>
      <x:c r="U3" s="80" t="str">
        <x:v>Baseline Mean</x:v>
      </x:c>
      <x:c r="V3" s="80" t="str">
        <x:v>LocalizeFlow Mean</x:v>
      </x:c>
      <x:c r="W3" s="81" t="str">
        <x:v>Winner</x:v>
      </x:c>
    </x:row>
    <x:row r="4" ht="30" customHeight="1">
      <x:c r="A4" s="83" t="str">
        <x:v>Overall</x:v>
      </x:c>
      <x:c r="B4" s="83" t="str">
        <x:v>Baseline</x:v>
      </x:c>
      <x:c r="C4" s="90" t="n">
        <x:f>IF($A4="Overall",COUNTIF('Revealed Data'!$I$4:$I$63,$B4),COUNTIFS('Revealed Data'!$I$4:$I$63,$B4,'Revealed Data'!$F$4:$F$63,$A4))</x:f>
        <x:v>30</x:v>
      </x:c>
      <x:c r="D4" s="91" t="n">
        <x:f>IF($A4="Overall",AVERAGEIF('Revealed Data'!$I$4:$I$63,$B4,'Revealed Data'!$L$4:$L$63),AVERAGEIFS('Revealed Data'!$L$4:$L$63,'Revealed Data'!$I$4:$I$63,$B4,'Revealed Data'!$F$4:$F$63,$A4))</x:f>
        <x:v>0.4</x:v>
      </x:c>
      <x:c r="E4" s="92" t="n">
        <x:f>IF($A4="Overall",AVERAGEIF('Revealed Data'!$I$4:$I$63,$B4,'Revealed Data'!$M$4:$M$63),AVERAGEIFS('Revealed Data'!$M$4:$M$63,'Revealed Data'!$I$4:$I$63,$B4,'Revealed Data'!$F$4:$F$63,$A4))</x:f>
        <x:v>3.3333333333333335</x:v>
      </x:c>
      <x:c r="F4" s="92" t="n">
        <x:f>IF($A4="Overall",AVERAGEIF('Revealed Data'!$I$4:$I$63,$B4,'Revealed Data'!$N$4:$N$63),AVERAGEIFS('Revealed Data'!$N$4:$N$63,'Revealed Data'!$I$4:$I$63,$B4,'Revealed Data'!$F$4:$F$63,$A4))</x:f>
        <x:v>2.7666666666666666</x:v>
      </x:c>
      <x:c r="G4" s="92" t="n">
        <x:f>IF($A4="Overall",AVERAGEIF('Revealed Data'!$I$4:$I$63,$B4,'Revealed Data'!$O$4:$O$63),AVERAGEIFS('Revealed Data'!$O$4:$O$63,'Revealed Data'!$I$4:$I$63,$B4,'Revealed Data'!$F$4:$F$63,$A4))</x:f>
        <x:v>2.933333333333333</x:v>
      </x:c>
      <x:c r="H4" s="92" t="n">
        <x:f>IF($A4="Overall",AVERAGEIF('Revealed Data'!$I$4:$I$63,$B4,'Revealed Data'!$P$4:$P$63),AVERAGEIFS('Revealed Data'!$P$4:$P$63,'Revealed Data'!$I$4:$I$63,$B4,'Revealed Data'!$F$4:$F$63,$A4))</x:f>
        <x:v>2.8</x:v>
      </x:c>
      <x:c r="I4" s="92" t="n">
        <x:f>IF($A4="Overall",AVERAGEIF('Revealed Data'!$I$4:$I$63,$B4,'Revealed Data'!$Q$4:$Q$63),AVERAGEIFS('Revealed Data'!$Q$4:$Q$63,'Revealed Data'!$I$4:$I$63,$B4,'Revealed Data'!$F$4:$F$63,$A4))</x:f>
        <x:v>2.6666666666666665</x:v>
      </x:c>
      <x:c r="J4" s="92" t="n">
        <x:f>IF($A4="Overall",AVERAGEIF('Revealed Data'!$I$4:$I$63,$B4,'Revealed Data'!$R$4:$R$63),AVERAGEIFS('Revealed Data'!$R$4:$R$63,'Revealed Data'!$I$4:$I$63,$B4,'Revealed Data'!$F$4:$F$63,$A4))</x:f>
        <x:v>2.6666666666666665</x:v>
      </x:c>
      <x:c r="K4" s="92" t="n">
        <x:f>IF($A4="Overall",AVERAGEIF('Revealed Data'!$I$4:$I$63,$B4,'Revealed Data'!$S$4:$S$63),AVERAGEIFS('Revealed Data'!$S$4:$S$63,'Revealed Data'!$I$4:$I$63,$B4,'Revealed Data'!$F$4:$F$63,$A4))</x:f>
        <x:v>2.3</x:v>
      </x:c>
      <x:c r="L4" s="92" t="n">
        <x:f>IF($A4="Overall",AVERAGEIF('Revealed Data'!$I$4:$I$63,$B4,'Revealed Data'!$T$4:$T$63),AVERAGEIFS('Revealed Data'!$T$4:$T$63,'Revealed Data'!$I$4:$I$63,$B4,'Revealed Data'!$F$4:$F$63,$A4))</x:f>
        <x:v>2.7809523809523804</x:v>
      </x:c>
      <x:c r="M4" s="92" t="n">
        <x:f>IF($A4="Overall",AVERAGEIF('Revealed Data'!$I$4:$I$63,$B4,'Revealed Data'!$U$4:$U$63),AVERAGEIFS('Revealed Data'!$U$4:$U$63,'Revealed Data'!$I$4:$I$63,$B4,'Revealed Data'!$F$4:$F$63,$A4))</x:f>
        <x:v>3.6333333333333333</x:v>
      </x:c>
      <x:c r="N4" s="92" t="n">
        <x:f>IF($A4="Overall",AVERAGEIF('Revealed Data'!$I$4:$I$63,$B4,'Revealed Data'!$V$4:$V$63),AVERAGEIFS('Revealed Data'!$V$4:$V$63,'Revealed Data'!$I$4:$I$63,$B4,'Revealed Data'!$F$4:$F$63,$A4))</x:f>
        <x:v>6.333333333333333</x:v>
      </x:c>
      <x:c r="O4" s="90" t="n">
        <x:f>IF($A4="Overall",COUNTIFS('Revealed Data'!$I$4:$I$63,$B4,'Revealed Data'!$AB$4:$AB$63,"Failure"),COUNTIFS('Revealed Data'!$I$4:$I$63,$B4,'Revealed Data'!$F$4:$F$63,$A4,'Revealed Data'!$AB$4:$AB$63,"Failure"))</x:f>
        <x:v>20</x:v>
      </x:c>
      <x:c r="R4" s="83" t="str">
        <x:v>G001</x:v>
      </x:c>
      <x:c r="S4" s="83" t="str">
        <x:v>en-US</x:v>
      </x:c>
      <x:c r="T4" s="83" t="str">
        <x:v>short_video_script</x:v>
      </x:c>
      <x:c r="U4" s="92" t="n">
        <x:f>SUMIFS('Revealed Data'!$T$4:$T$63,'Revealed Data'!$C$4:$C$63,$R4,'Revealed Data'!$I$4:$I$63,"Baseline")</x:f>
        <x:v>3.142857142857143</x:v>
      </x:c>
      <x:c r="V4" s="92" t="n">
        <x:f>SUMIFS('Revealed Data'!$T$4:$T$63,'Revealed Data'!$C$4:$C$63,$R4,'Revealed Data'!$I$4:$I$63,"LocalizeFlow")</x:f>
        <x:v>4.285714285714286</x:v>
      </x:c>
      <x:c r="W4" s="90" t="str">
        <x:f>IF(V4&gt;U4,"LocalizeFlow",IF(V4&lt;U4,"Baseline","Tie"))</x:f>
        <x:v>LocalizeFlow</x:v>
      </x:c>
    </x:row>
    <x:row r="5" ht="30" customHeight="1">
      <x:c r="A5" s="83" t="str">
        <x:v>Overall</x:v>
      </x:c>
      <x:c r="B5" s="83" t="str">
        <x:v>LocalizeFlow</x:v>
      </x:c>
      <x:c r="C5" s="90" t="n">
        <x:f>IF($A5="Overall",COUNTIF('Revealed Data'!$I$4:$I$63,$B5),COUNTIFS('Revealed Data'!$I$4:$I$63,$B5,'Revealed Data'!$F$4:$F$63,$A5))</x:f>
        <x:v>30</x:v>
      </x:c>
      <x:c r="D5" s="91" t="n">
        <x:f>IF($A5="Overall",AVERAGEIF('Revealed Data'!$I$4:$I$63,$B5,'Revealed Data'!$L$4:$L$63),AVERAGEIFS('Revealed Data'!$L$4:$L$63,'Revealed Data'!$I$4:$I$63,$B5,'Revealed Data'!$F$4:$F$63,$A5))</x:f>
        <x:v>0.6666666666666666</x:v>
      </x:c>
      <x:c r="E5" s="92" t="n">
        <x:f>IF($A5="Overall",AVERAGEIF('Revealed Data'!$I$4:$I$63,$B5,'Revealed Data'!$M$4:$M$63),AVERAGEIFS('Revealed Data'!$M$4:$M$63,'Revealed Data'!$I$4:$I$63,$B5,'Revealed Data'!$F$4:$F$63,$A5))</x:f>
        <x:v>4.266666666666667</x:v>
      </x:c>
      <x:c r="F5" s="92" t="n">
        <x:f>IF($A5="Overall",AVERAGEIF('Revealed Data'!$I$4:$I$63,$B5,'Revealed Data'!$N$4:$N$63),AVERAGEIFS('Revealed Data'!$N$4:$N$63,'Revealed Data'!$I$4:$I$63,$B5,'Revealed Data'!$F$4:$F$63,$A5))</x:f>
        <x:v>4.833333333333333</x:v>
      </x:c>
      <x:c r="G5" s="92" t="n">
        <x:f>IF($A5="Overall",AVERAGEIF('Revealed Data'!$I$4:$I$63,$B5,'Revealed Data'!$O$4:$O$63),AVERAGEIFS('Revealed Data'!$O$4:$O$63,'Revealed Data'!$I$4:$I$63,$B5,'Revealed Data'!$F$4:$F$63,$A5))</x:f>
        <x:v>4.3</x:v>
      </x:c>
      <x:c r="H5" s="92" t="n">
        <x:f>IF($A5="Overall",AVERAGEIF('Revealed Data'!$I$4:$I$63,$B5,'Revealed Data'!$P$4:$P$63),AVERAGEIFS('Revealed Data'!$P$4:$P$63,'Revealed Data'!$I$4:$I$63,$B5,'Revealed Data'!$F$4:$F$63,$A5))</x:f>
        <x:v>4.666666666666667</x:v>
      </x:c>
      <x:c r="I5" s="92" t="n">
        <x:f>IF($A5="Overall",AVERAGEIF('Revealed Data'!$I$4:$I$63,$B5,'Revealed Data'!$Q$4:$Q$63),AVERAGEIFS('Revealed Data'!$Q$4:$Q$63,'Revealed Data'!$I$4:$I$63,$B5,'Revealed Data'!$F$4:$F$63,$A5))</x:f>
        <x:v>4</x:v>
      </x:c>
      <x:c r="J5" s="92" t="n">
        <x:f>IF($A5="Overall",AVERAGEIF('Revealed Data'!$I$4:$I$63,$B5,'Revealed Data'!$R$4:$R$63),AVERAGEIFS('Revealed Data'!$R$4:$R$63,'Revealed Data'!$I$4:$I$63,$B5,'Revealed Data'!$F$4:$F$63,$A5))</x:f>
        <x:v>4</x:v>
      </x:c>
      <x:c r="K5" s="92" t="n">
        <x:f>IF($A5="Overall",AVERAGEIF('Revealed Data'!$I$4:$I$63,$B5,'Revealed Data'!$S$4:$S$63),AVERAGEIFS('Revealed Data'!$S$4:$S$63,'Revealed Data'!$I$4:$I$63,$B5,'Revealed Data'!$F$4:$F$63,$A5))</x:f>
        <x:v>3.3</x:v>
      </x:c>
      <x:c r="L5" s="92" t="n">
        <x:f>IF($A5="Overall",AVERAGEIF('Revealed Data'!$I$4:$I$63,$B5,'Revealed Data'!$T$4:$T$63),AVERAGEIFS('Revealed Data'!$T$4:$T$63,'Revealed Data'!$I$4:$I$63,$B5,'Revealed Data'!$F$4:$F$63,$A5))</x:f>
        <x:v>4.195238095238095</x:v>
      </x:c>
      <x:c r="M5" s="92" t="n">
        <x:f>IF($A5="Overall",AVERAGEIF('Revealed Data'!$I$4:$I$63,$B5,'Revealed Data'!$U$4:$U$63),AVERAGEIFS('Revealed Data'!$U$4:$U$63,'Revealed Data'!$I$4:$I$63,$B5,'Revealed Data'!$F$4:$F$63,$A5))</x:f>
        <x:v>1.4</x:v>
      </x:c>
      <x:c r="N5" s="92" t="n">
        <x:f>IF($A5="Overall",AVERAGEIF('Revealed Data'!$I$4:$I$63,$B5,'Revealed Data'!$V$4:$V$63),AVERAGEIFS('Revealed Data'!$V$4:$V$63,'Revealed Data'!$I$4:$I$63,$B5,'Revealed Data'!$F$4:$F$63,$A5))</x:f>
        <x:v>4.7</x:v>
      </x:c>
      <x:c r="O5" s="90" t="n">
        <x:f>IF($A5="Overall",COUNTIFS('Revealed Data'!$I$4:$I$63,$B5,'Revealed Data'!$AB$4:$AB$63,"Failure"),COUNTIFS('Revealed Data'!$I$4:$I$63,$B5,'Revealed Data'!$F$4:$F$63,$A5,'Revealed Data'!$AB$4:$AB$63,"Failure"))</x:f>
        <x:v>10</x:v>
      </x:c>
      <x:c r="R5" s="83" t="str">
        <x:v>G002</x:v>
      </x:c>
      <x:c r="S5" s="83" t="str">
        <x:v>en-US</x:v>
      </x:c>
      <x:c r="T5" s="83" t="str">
        <x:v>social_ad_copy</x:v>
      </x:c>
      <x:c r="U5" s="92" t="n">
        <x:f>SUMIFS('Revealed Data'!$T$4:$T$63,'Revealed Data'!$C$4:$C$63,$R5,'Revealed Data'!$I$4:$I$63,"Baseline")</x:f>
        <x:v>2.7142857142857144</x:v>
      </x:c>
      <x:c r="V5" s="92" t="n">
        <x:f>SUMIFS('Revealed Data'!$T$4:$T$63,'Revealed Data'!$C$4:$C$63,$R5,'Revealed Data'!$I$4:$I$63,"LocalizeFlow")</x:f>
        <x:v>4.142857142857143</x:v>
      </x:c>
      <x:c r="W5" s="90" t="str">
        <x:f>IF(V5&gt;U5,"LocalizeFlow",IF(V5&lt;U5,"Baseline","Tie"))</x:f>
        <x:v>LocalizeFlow</x:v>
      </x:c>
    </x:row>
    <x:row r="6" ht="30" customHeight="1">
      <x:c r="A6" s="83" t="str">
        <x:v>en-US</x:v>
      </x:c>
      <x:c r="B6" s="83" t="str">
        <x:v>Baseline</x:v>
      </x:c>
      <x:c r="C6" s="90" t="n">
        <x:f>IF($A6="Overall",COUNTIF('Revealed Data'!$I$4:$I$63,$B6),COUNTIFS('Revealed Data'!$I$4:$I$63,$B6,'Revealed Data'!$F$4:$F$63,$A6))</x:f>
        <x:v>15</x:v>
      </x:c>
      <x:c r="D6" s="91" t="n">
        <x:f>IF($A6="Overall",AVERAGEIF('Revealed Data'!$I$4:$I$63,$B6,'Revealed Data'!$L$4:$L$63),AVERAGEIFS('Revealed Data'!$L$4:$L$63,'Revealed Data'!$I$4:$I$63,$B6,'Revealed Data'!$F$4:$F$63,$A6))</x:f>
        <x:v>0.4</x:v>
      </x:c>
      <x:c r="E6" s="92" t="n">
        <x:f>IF($A6="Overall",AVERAGEIF('Revealed Data'!$I$4:$I$63,$B6,'Revealed Data'!$M$4:$M$63),AVERAGEIFS('Revealed Data'!$M$4:$M$63,'Revealed Data'!$I$4:$I$63,$B6,'Revealed Data'!$F$4:$F$63,$A6))</x:f>
        <x:v>3.3333333333333335</x:v>
      </x:c>
      <x:c r="F6" s="92" t="n">
        <x:f>IF($A6="Overall",AVERAGEIF('Revealed Data'!$I$4:$I$63,$B6,'Revealed Data'!$N$4:$N$63),AVERAGEIFS('Revealed Data'!$N$4:$N$63,'Revealed Data'!$I$4:$I$63,$B6,'Revealed Data'!$F$4:$F$63,$A6))</x:f>
        <x:v>3</x:v>
      </x:c>
      <x:c r="G6" s="92" t="n">
        <x:f>IF($A6="Overall",AVERAGEIF('Revealed Data'!$I$4:$I$63,$B6,'Revealed Data'!$O$4:$O$63),AVERAGEIFS('Revealed Data'!$O$4:$O$63,'Revealed Data'!$I$4:$I$63,$B6,'Revealed Data'!$F$4:$F$63,$A6))</x:f>
        <x:v>3</x:v>
      </x:c>
      <x:c r="H6" s="92" t="n">
        <x:f>IF($A6="Overall",AVERAGEIF('Revealed Data'!$I$4:$I$63,$B6,'Revealed Data'!$P$4:$P$63),AVERAGEIFS('Revealed Data'!$P$4:$P$63,'Revealed Data'!$I$4:$I$63,$B6,'Revealed Data'!$F$4:$F$63,$A6))</x:f>
        <x:v>2.8</x:v>
      </x:c>
      <x:c r="I6" s="92" t="n">
        <x:f>IF($A6="Overall",AVERAGEIF('Revealed Data'!$I$4:$I$63,$B6,'Revealed Data'!$Q$4:$Q$63),AVERAGEIFS('Revealed Data'!$Q$4:$Q$63,'Revealed Data'!$I$4:$I$63,$B6,'Revealed Data'!$F$4:$F$63,$A6))</x:f>
        <x:v>2.6666666666666665</x:v>
      </x:c>
      <x:c r="J6" s="92" t="n">
        <x:f>IF($A6="Overall",AVERAGEIF('Revealed Data'!$I$4:$I$63,$B6,'Revealed Data'!$R$4:$R$63),AVERAGEIFS('Revealed Data'!$R$4:$R$63,'Revealed Data'!$I$4:$I$63,$B6,'Revealed Data'!$F$4:$F$63,$A6))</x:f>
        <x:v>2.6666666666666665</x:v>
      </x:c>
      <x:c r="K6" s="92" t="n">
        <x:f>IF($A6="Overall",AVERAGEIF('Revealed Data'!$I$4:$I$63,$B6,'Revealed Data'!$S$4:$S$63),AVERAGEIFS('Revealed Data'!$S$4:$S$63,'Revealed Data'!$I$4:$I$63,$B6,'Revealed Data'!$F$4:$F$63,$A6))</x:f>
        <x:v>2.2666666666666666</x:v>
      </x:c>
      <x:c r="L6" s="92" t="n">
        <x:f>IF($A6="Overall",AVERAGEIF('Revealed Data'!$I$4:$I$63,$B6,'Revealed Data'!$T$4:$T$63),AVERAGEIFS('Revealed Data'!$T$4:$T$63,'Revealed Data'!$I$4:$I$63,$B6,'Revealed Data'!$F$4:$F$63,$A6))</x:f>
        <x:v>2.819047619047619</x:v>
      </x:c>
      <x:c r="M6" s="92" t="n">
        <x:f>IF($A6="Overall",AVERAGEIF('Revealed Data'!$I$4:$I$63,$B6,'Revealed Data'!$U$4:$U$63),AVERAGEIFS('Revealed Data'!$U$4:$U$63,'Revealed Data'!$I$4:$I$63,$B6,'Revealed Data'!$F$4:$F$63,$A6))</x:f>
        <x:v>3.6666666666666665</x:v>
      </x:c>
      <x:c r="N6" s="92" t="n">
        <x:f>IF($A6="Overall",AVERAGEIF('Revealed Data'!$I$4:$I$63,$B6,'Revealed Data'!$V$4:$V$63),AVERAGEIFS('Revealed Data'!$V$4:$V$63,'Revealed Data'!$I$4:$I$63,$B6,'Revealed Data'!$F$4:$F$63,$A6))</x:f>
        <x:v>6.2</x:v>
      </x:c>
      <x:c r="O6" s="90" t="n">
        <x:f>IF($A6="Overall",COUNTIFS('Revealed Data'!$I$4:$I$63,$B6,'Revealed Data'!$AB$4:$AB$63,"Failure"),COUNTIFS('Revealed Data'!$I$4:$I$63,$B6,'Revealed Data'!$F$4:$F$63,$A6,'Revealed Data'!$AB$4:$AB$63,"Failure"))</x:f>
        <x:v>9</x:v>
      </x:c>
      <x:c r="R6" s="83" t="str">
        <x:v>G003</x:v>
      </x:c>
      <x:c r="S6" s="83" t="str">
        <x:v>es-MX</x:v>
      </x:c>
      <x:c r="T6" s="83" t="str">
        <x:v>short_video_script</x:v>
      </x:c>
      <x:c r="U6" s="92" t="n">
        <x:f>SUMIFS('Revealed Data'!$T$4:$T$63,'Revealed Data'!$C$4:$C$63,$R6,'Revealed Data'!$I$4:$I$63,"Baseline")</x:f>
        <x:v>2.142857142857143</x:v>
      </x:c>
      <x:c r="V6" s="92" t="n">
        <x:f>SUMIFS('Revealed Data'!$T$4:$T$63,'Revealed Data'!$C$4:$C$63,$R6,'Revealed Data'!$I$4:$I$63,"LocalizeFlow")</x:f>
        <x:v>3.7142857142857144</x:v>
      </x:c>
      <x:c r="W6" s="90" t="str">
        <x:f>IF(V6&gt;U6,"LocalizeFlow",IF(V6&lt;U6,"Baseline","Tie"))</x:f>
        <x:v>LocalizeFlow</x:v>
      </x:c>
    </x:row>
    <x:row r="7" ht="30" customHeight="1">
      <x:c r="A7" s="83" t="str">
        <x:v>en-US</x:v>
      </x:c>
      <x:c r="B7" s="83" t="str">
        <x:v>LocalizeFlow</x:v>
      </x:c>
      <x:c r="C7" s="90" t="n">
        <x:f>IF($A7="Overall",COUNTIF('Revealed Data'!$I$4:$I$63,$B7),COUNTIFS('Revealed Data'!$I$4:$I$63,$B7,'Revealed Data'!$F$4:$F$63,$A7))</x:f>
        <x:v>15</x:v>
      </x:c>
      <x:c r="D7" s="91" t="n">
        <x:f>IF($A7="Overall",AVERAGEIF('Revealed Data'!$I$4:$I$63,$B7,'Revealed Data'!$L$4:$L$63),AVERAGEIFS('Revealed Data'!$L$4:$L$63,'Revealed Data'!$I$4:$I$63,$B7,'Revealed Data'!$F$4:$F$63,$A7))</x:f>
        <x:v>0.6666666666666666</x:v>
      </x:c>
      <x:c r="E7" s="92" t="n">
        <x:f>IF($A7="Overall",AVERAGEIF('Revealed Data'!$I$4:$I$63,$B7,'Revealed Data'!$M$4:$M$63),AVERAGEIFS('Revealed Data'!$M$4:$M$63,'Revealed Data'!$I$4:$I$63,$B7,'Revealed Data'!$F$4:$F$63,$A7))</x:f>
        <x:v>4.266666666666667</x:v>
      </x:c>
      <x:c r="F7" s="92" t="n">
        <x:f>IF($A7="Overall",AVERAGEIF('Revealed Data'!$I$4:$I$63,$B7,'Revealed Data'!$N$4:$N$63),AVERAGEIFS('Revealed Data'!$N$4:$N$63,'Revealed Data'!$I$4:$I$63,$B7,'Revealed Data'!$F$4:$F$63,$A7))</x:f>
        <x:v>4.866666666666666</x:v>
      </x:c>
      <x:c r="G7" s="92" t="n">
        <x:f>IF($A7="Overall",AVERAGEIF('Revealed Data'!$I$4:$I$63,$B7,'Revealed Data'!$O$4:$O$63),AVERAGEIFS('Revealed Data'!$O$4:$O$63,'Revealed Data'!$I$4:$I$63,$B7,'Revealed Data'!$F$4:$F$63,$A7))</x:f>
        <x:v>4</x:v>
      </x:c>
      <x:c r="H7" s="92" t="n">
        <x:f>IF($A7="Overall",AVERAGEIF('Revealed Data'!$I$4:$I$63,$B7,'Revealed Data'!$P$4:$P$63),AVERAGEIFS('Revealed Data'!$P$4:$P$63,'Revealed Data'!$I$4:$I$63,$B7,'Revealed Data'!$F$4:$F$63,$A7))</x:f>
        <x:v>4.666666666666667</x:v>
      </x:c>
      <x:c r="I7" s="92" t="n">
        <x:f>IF($A7="Overall",AVERAGEIF('Revealed Data'!$I$4:$I$63,$B7,'Revealed Data'!$Q$4:$Q$63),AVERAGEIFS('Revealed Data'!$Q$4:$Q$63,'Revealed Data'!$I$4:$I$63,$B7,'Revealed Data'!$F$4:$F$63,$A7))</x:f>
        <x:v>4</x:v>
      </x:c>
      <x:c r="J7" s="92" t="n">
        <x:f>IF($A7="Overall",AVERAGEIF('Revealed Data'!$I$4:$I$63,$B7,'Revealed Data'!$R$4:$R$63),AVERAGEIFS('Revealed Data'!$R$4:$R$63,'Revealed Data'!$I$4:$I$63,$B7,'Revealed Data'!$F$4:$F$63,$A7))</x:f>
        <x:v>4</x:v>
      </x:c>
      <x:c r="K7" s="92" t="n">
        <x:f>IF($A7="Overall",AVERAGEIF('Revealed Data'!$I$4:$I$63,$B7,'Revealed Data'!$S$4:$S$63),AVERAGEIFS('Revealed Data'!$S$4:$S$63,'Revealed Data'!$I$4:$I$63,$B7,'Revealed Data'!$F$4:$F$63,$A7))</x:f>
        <x:v>3.3333333333333335</x:v>
      </x:c>
      <x:c r="L7" s="92" t="n">
        <x:f>IF($A7="Overall",AVERAGEIF('Revealed Data'!$I$4:$I$63,$B7,'Revealed Data'!$T$4:$T$63),AVERAGEIFS('Revealed Data'!$T$4:$T$63,'Revealed Data'!$I$4:$I$63,$B7,'Revealed Data'!$F$4:$F$63,$A7))</x:f>
        <x:v>4.161904761904761</x:v>
      </x:c>
      <x:c r="M7" s="92" t="n">
        <x:f>IF($A7="Overall",AVERAGEIF('Revealed Data'!$I$4:$I$63,$B7,'Revealed Data'!$U$4:$U$63),AVERAGEIFS('Revealed Data'!$U$4:$U$63,'Revealed Data'!$I$4:$I$63,$B7,'Revealed Data'!$F$4:$F$63,$A7))</x:f>
        <x:v>1.4</x:v>
      </x:c>
      <x:c r="N7" s="92" t="n">
        <x:f>IF($A7="Overall",AVERAGEIF('Revealed Data'!$I$4:$I$63,$B7,'Revealed Data'!$V$4:$V$63),AVERAGEIFS('Revealed Data'!$V$4:$V$63,'Revealed Data'!$I$4:$I$63,$B7,'Revealed Data'!$F$4:$F$63,$A7))</x:f>
        <x:v>4.666666666666667</x:v>
      </x:c>
      <x:c r="O7" s="90" t="n">
        <x:f>IF($A7="Overall",COUNTIFS('Revealed Data'!$I$4:$I$63,$B7,'Revealed Data'!$AB$4:$AB$63,"Failure"),COUNTIFS('Revealed Data'!$I$4:$I$63,$B7,'Revealed Data'!$F$4:$F$63,$A7,'Revealed Data'!$AB$4:$AB$63,"Failure"))</x:f>
        <x:v>5</x:v>
      </x:c>
      <x:c r="R7" s="83" t="str">
        <x:v>G004</x:v>
      </x:c>
      <x:c r="S7" s="83" t="str">
        <x:v>es-MX</x:v>
      </x:c>
      <x:c r="T7" s="83" t="str">
        <x:v>short_video_script</x:v>
      </x:c>
      <x:c r="U7" s="92" t="n">
        <x:f>SUMIFS('Revealed Data'!$T$4:$T$63,'Revealed Data'!$C$4:$C$63,$R7,'Revealed Data'!$I$4:$I$63,"Baseline")</x:f>
        <x:v>2.142857142857143</x:v>
      </x:c>
      <x:c r="V7" s="92" t="n">
        <x:f>SUMIFS('Revealed Data'!$T$4:$T$63,'Revealed Data'!$C$4:$C$63,$R7,'Revealed Data'!$I$4:$I$63,"LocalizeFlow")</x:f>
        <x:v>4.285714285714286</x:v>
      </x:c>
      <x:c r="W7" s="90" t="str">
        <x:f>IF(V7&gt;U7,"LocalizeFlow",IF(V7&lt;U7,"Baseline","Tie"))</x:f>
        <x:v>LocalizeFlow</x:v>
      </x:c>
    </x:row>
    <x:row r="8" ht="30" customHeight="1">
      <x:c r="A8" s="83" t="str">
        <x:v>es-MX</x:v>
      </x:c>
      <x:c r="B8" s="83" t="str">
        <x:v>Baseline</x:v>
      </x:c>
      <x:c r="C8" s="90" t="n">
        <x:f>IF($A8="Overall",COUNTIF('Revealed Data'!$I$4:$I$63,$B8),COUNTIFS('Revealed Data'!$I$4:$I$63,$B8,'Revealed Data'!$F$4:$F$63,$A8))</x:f>
        <x:v>15</x:v>
      </x:c>
      <x:c r="D8" s="91" t="n">
        <x:f>IF($A8="Overall",AVERAGEIF('Revealed Data'!$I$4:$I$63,$B8,'Revealed Data'!$L$4:$L$63),AVERAGEIFS('Revealed Data'!$L$4:$L$63,'Revealed Data'!$I$4:$I$63,$B8,'Revealed Data'!$F$4:$F$63,$A8))</x:f>
        <x:v>0.4</x:v>
      </x:c>
      <x:c r="E8" s="92" t="n">
        <x:f>IF($A8="Overall",AVERAGEIF('Revealed Data'!$I$4:$I$63,$B8,'Revealed Data'!$M$4:$M$63),AVERAGEIFS('Revealed Data'!$M$4:$M$63,'Revealed Data'!$I$4:$I$63,$B8,'Revealed Data'!$F$4:$F$63,$A8))</x:f>
        <x:v>3.3333333333333335</x:v>
      </x:c>
      <x:c r="F8" s="92" t="n">
        <x:f>IF($A8="Overall",AVERAGEIF('Revealed Data'!$I$4:$I$63,$B8,'Revealed Data'!$N$4:$N$63),AVERAGEIFS('Revealed Data'!$N$4:$N$63,'Revealed Data'!$I$4:$I$63,$B8,'Revealed Data'!$F$4:$F$63,$A8))</x:f>
        <x:v>2.533333333333333</x:v>
      </x:c>
      <x:c r="G8" s="92" t="n">
        <x:f>IF($A8="Overall",AVERAGEIF('Revealed Data'!$I$4:$I$63,$B8,'Revealed Data'!$O$4:$O$63),AVERAGEIFS('Revealed Data'!$O$4:$O$63,'Revealed Data'!$I$4:$I$63,$B8,'Revealed Data'!$F$4:$F$63,$A8))</x:f>
        <x:v>2.8666666666666667</x:v>
      </x:c>
      <x:c r="H8" s="92" t="n">
        <x:f>IF($A8="Overall",AVERAGEIF('Revealed Data'!$I$4:$I$63,$B8,'Revealed Data'!$P$4:$P$63),AVERAGEIFS('Revealed Data'!$P$4:$P$63,'Revealed Data'!$I$4:$I$63,$B8,'Revealed Data'!$F$4:$F$63,$A8))</x:f>
        <x:v>2.8</x:v>
      </x:c>
      <x:c r="I8" s="92" t="n">
        <x:f>IF($A8="Overall",AVERAGEIF('Revealed Data'!$I$4:$I$63,$B8,'Revealed Data'!$Q$4:$Q$63),AVERAGEIFS('Revealed Data'!$Q$4:$Q$63,'Revealed Data'!$I$4:$I$63,$B8,'Revealed Data'!$F$4:$F$63,$A8))</x:f>
        <x:v>2.6666666666666665</x:v>
      </x:c>
      <x:c r="J8" s="92" t="n">
        <x:f>IF($A8="Overall",AVERAGEIF('Revealed Data'!$I$4:$I$63,$B8,'Revealed Data'!$R$4:$R$63),AVERAGEIFS('Revealed Data'!$R$4:$R$63,'Revealed Data'!$I$4:$I$63,$B8,'Revealed Data'!$F$4:$F$63,$A8))</x:f>
        <x:v>2.6666666666666665</x:v>
      </x:c>
      <x:c r="K8" s="92" t="n">
        <x:f>IF($A8="Overall",AVERAGEIF('Revealed Data'!$I$4:$I$63,$B8,'Revealed Data'!$S$4:$S$63),AVERAGEIFS('Revealed Data'!$S$4:$S$63,'Revealed Data'!$I$4:$I$63,$B8,'Revealed Data'!$F$4:$F$63,$A8))</x:f>
        <x:v>2.3333333333333335</x:v>
      </x:c>
      <x:c r="L8" s="92" t="n">
        <x:f>IF($A8="Overall",AVERAGEIF('Revealed Data'!$I$4:$I$63,$B8,'Revealed Data'!$T$4:$T$63),AVERAGEIFS('Revealed Data'!$T$4:$T$63,'Revealed Data'!$I$4:$I$63,$B8,'Revealed Data'!$F$4:$F$63,$A8))</x:f>
        <x:v>2.742857142857143</x:v>
      </x:c>
      <x:c r="M8" s="92" t="n">
        <x:f>IF($A8="Overall",AVERAGEIF('Revealed Data'!$I$4:$I$63,$B8,'Revealed Data'!$U$4:$U$63),AVERAGEIFS('Revealed Data'!$U$4:$U$63,'Revealed Data'!$I$4:$I$63,$B8,'Revealed Data'!$F$4:$F$63,$A8))</x:f>
        <x:v>3.6</x:v>
      </x:c>
      <x:c r="N8" s="92" t="n">
        <x:f>IF($A8="Overall",AVERAGEIF('Revealed Data'!$I$4:$I$63,$B8,'Revealed Data'!$V$4:$V$63),AVERAGEIFS('Revealed Data'!$V$4:$V$63,'Revealed Data'!$I$4:$I$63,$B8,'Revealed Data'!$F$4:$F$63,$A8))</x:f>
        <x:v>6.466666666666667</x:v>
      </x:c>
      <x:c r="O8" s="90" t="n">
        <x:f>IF($A8="Overall",COUNTIFS('Revealed Data'!$I$4:$I$63,$B8,'Revealed Data'!$AB$4:$AB$63,"Failure"),COUNTIFS('Revealed Data'!$I$4:$I$63,$B8,'Revealed Data'!$F$4:$F$63,$A8,'Revealed Data'!$AB$4:$AB$63,"Failure"))</x:f>
        <x:v>11</x:v>
      </x:c>
      <x:c r="R8" s="83" t="str">
        <x:v>G005</x:v>
      </x:c>
      <x:c r="S8" s="83" t="str">
        <x:v>es-MX</x:v>
      </x:c>
      <x:c r="T8" s="83" t="str">
        <x:v>social_ad_copy</x:v>
      </x:c>
      <x:c r="U8" s="92" t="n">
        <x:f>SUMIFS('Revealed Data'!$T$4:$T$63,'Revealed Data'!$C$4:$C$63,$R8,'Revealed Data'!$I$4:$I$63,"Baseline")</x:f>
        <x:v>3.857142857142857</x:v>
      </x:c>
      <x:c r="V8" s="92" t="n">
        <x:f>SUMIFS('Revealed Data'!$T$4:$T$63,'Revealed Data'!$C$4:$C$63,$R8,'Revealed Data'!$I$4:$I$63,"LocalizeFlow")</x:f>
        <x:v>4.285714285714286</x:v>
      </x:c>
      <x:c r="W8" s="90" t="str">
        <x:f>IF(V8&gt;U8,"LocalizeFlow",IF(V8&lt;U8,"Baseline","Tie"))</x:f>
        <x:v>LocalizeFlow</x:v>
      </x:c>
    </x:row>
    <x:row r="9" ht="30" customHeight="1">
      <x:c r="A9" s="83" t="str">
        <x:v>es-MX</x:v>
      </x:c>
      <x:c r="B9" s="83" t="str">
        <x:v>LocalizeFlow</x:v>
      </x:c>
      <x:c r="C9" s="90" t="n">
        <x:f>IF($A9="Overall",COUNTIF('Revealed Data'!$I$4:$I$63,$B9),COUNTIFS('Revealed Data'!$I$4:$I$63,$B9,'Revealed Data'!$F$4:$F$63,$A9))</x:f>
        <x:v>15</x:v>
      </x:c>
      <x:c r="D9" s="91" t="n">
        <x:f>IF($A9="Overall",AVERAGEIF('Revealed Data'!$I$4:$I$63,$B9,'Revealed Data'!$L$4:$L$63),AVERAGEIFS('Revealed Data'!$L$4:$L$63,'Revealed Data'!$I$4:$I$63,$B9,'Revealed Data'!$F$4:$F$63,$A9))</x:f>
        <x:v>0.6666666666666666</x:v>
      </x:c>
      <x:c r="E9" s="92" t="n">
        <x:f>IF($A9="Overall",AVERAGEIF('Revealed Data'!$I$4:$I$63,$B9,'Revealed Data'!$M$4:$M$63),AVERAGEIFS('Revealed Data'!$M$4:$M$63,'Revealed Data'!$I$4:$I$63,$B9,'Revealed Data'!$F$4:$F$63,$A9))</x:f>
        <x:v>4.266666666666667</x:v>
      </x:c>
      <x:c r="F9" s="92" t="n">
        <x:f>IF($A9="Overall",AVERAGEIF('Revealed Data'!$I$4:$I$63,$B9,'Revealed Data'!$N$4:$N$63),AVERAGEIFS('Revealed Data'!$N$4:$N$63,'Revealed Data'!$I$4:$I$63,$B9,'Revealed Data'!$F$4:$F$63,$A9))</x:f>
        <x:v>4.8</x:v>
      </x:c>
      <x:c r="G9" s="92" t="n">
        <x:f>IF($A9="Overall",AVERAGEIF('Revealed Data'!$I$4:$I$63,$B9,'Revealed Data'!$O$4:$O$63),AVERAGEIFS('Revealed Data'!$O$4:$O$63,'Revealed Data'!$I$4:$I$63,$B9,'Revealed Data'!$F$4:$F$63,$A9))</x:f>
        <x:v>4.6</x:v>
      </x:c>
      <x:c r="H9" s="92" t="n">
        <x:f>IF($A9="Overall",AVERAGEIF('Revealed Data'!$I$4:$I$63,$B9,'Revealed Data'!$P$4:$P$63),AVERAGEIFS('Revealed Data'!$P$4:$P$63,'Revealed Data'!$I$4:$I$63,$B9,'Revealed Data'!$F$4:$F$63,$A9))</x:f>
        <x:v>4.666666666666667</x:v>
      </x:c>
      <x:c r="I9" s="92" t="n">
        <x:f>IF($A9="Overall",AVERAGEIF('Revealed Data'!$I$4:$I$63,$B9,'Revealed Data'!$Q$4:$Q$63),AVERAGEIFS('Revealed Data'!$Q$4:$Q$63,'Revealed Data'!$I$4:$I$63,$B9,'Revealed Data'!$F$4:$F$63,$A9))</x:f>
        <x:v>4</x:v>
      </x:c>
      <x:c r="J9" s="92" t="n">
        <x:f>IF($A9="Overall",AVERAGEIF('Revealed Data'!$I$4:$I$63,$B9,'Revealed Data'!$R$4:$R$63),AVERAGEIFS('Revealed Data'!$R$4:$R$63,'Revealed Data'!$I$4:$I$63,$B9,'Revealed Data'!$F$4:$F$63,$A9))</x:f>
        <x:v>4</x:v>
      </x:c>
      <x:c r="K9" s="92" t="n">
        <x:f>IF($A9="Overall",AVERAGEIF('Revealed Data'!$I$4:$I$63,$B9,'Revealed Data'!$S$4:$S$63),AVERAGEIFS('Revealed Data'!$S$4:$S$63,'Revealed Data'!$I$4:$I$63,$B9,'Revealed Data'!$F$4:$F$63,$A9))</x:f>
        <x:v>3.2666666666666666</x:v>
      </x:c>
      <x:c r="L9" s="92" t="n">
        <x:f>IF($A9="Overall",AVERAGEIF('Revealed Data'!$I$4:$I$63,$B9,'Revealed Data'!$T$4:$T$63),AVERAGEIFS('Revealed Data'!$T$4:$T$63,'Revealed Data'!$I$4:$I$63,$B9,'Revealed Data'!$F$4:$F$63,$A9))</x:f>
        <x:v>4.2285714285714295</x:v>
      </x:c>
      <x:c r="M9" s="92" t="n">
        <x:f>IF($A9="Overall",AVERAGEIF('Revealed Data'!$I$4:$I$63,$B9,'Revealed Data'!$U$4:$U$63),AVERAGEIFS('Revealed Data'!$U$4:$U$63,'Revealed Data'!$I$4:$I$63,$B9,'Revealed Data'!$F$4:$F$63,$A9))</x:f>
        <x:v>1.4</x:v>
      </x:c>
      <x:c r="N9" s="92" t="n">
        <x:f>IF($A9="Overall",AVERAGEIF('Revealed Data'!$I$4:$I$63,$B9,'Revealed Data'!$V$4:$V$63),AVERAGEIFS('Revealed Data'!$V$4:$V$63,'Revealed Data'!$I$4:$I$63,$B9,'Revealed Data'!$F$4:$F$63,$A9))</x:f>
        <x:v>4.733333333333333</x:v>
      </x:c>
      <x:c r="O9" s="90" t="n">
        <x:f>IF($A9="Overall",COUNTIFS('Revealed Data'!$I$4:$I$63,$B9,'Revealed Data'!$AB$4:$AB$63,"Failure"),COUNTIFS('Revealed Data'!$I$4:$I$63,$B9,'Revealed Data'!$F$4:$F$63,$A9,'Revealed Data'!$AB$4:$AB$63,"Failure"))</x:f>
        <x:v>5</x:v>
      </x:c>
      <x:c r="R9" s="83" t="str">
        <x:v>G006</x:v>
      </x:c>
      <x:c r="S9" s="83" t="str">
        <x:v>en-US</x:v>
      </x:c>
      <x:c r="T9" s="83" t="str">
        <x:v>short_video_script</x:v>
      </x:c>
      <x:c r="U9" s="92" t="n">
        <x:f>SUMIFS('Revealed Data'!$T$4:$T$63,'Revealed Data'!$C$4:$C$63,$R9,'Revealed Data'!$I$4:$I$63,"Baseline")</x:f>
        <x:v>2.4285714285714284</x:v>
      </x:c>
      <x:c r="V9" s="92" t="n">
        <x:f>SUMIFS('Revealed Data'!$T$4:$T$63,'Revealed Data'!$C$4:$C$63,$R9,'Revealed Data'!$I$4:$I$63,"LocalizeFlow")</x:f>
        <x:v>3.857142857142857</x:v>
      </x:c>
      <x:c r="W9" s="90" t="str">
        <x:f>IF(V9&gt;U9,"LocalizeFlow",IF(V9&lt;U9,"Baseline","Tie"))</x:f>
        <x:v>LocalizeFlow</x:v>
      </x:c>
    </x:row>
    <x:row r="10">
      <x:c r="R10" s="83" t="str">
        <x:v>G007</x:v>
      </x:c>
      <x:c r="S10" s="83" t="str">
        <x:v>en-US</x:v>
      </x:c>
      <x:c r="T10" s="83" t="str">
        <x:v>product_listing</x:v>
      </x:c>
      <x:c r="U10" s="92" t="n">
        <x:f>SUMIFS('Revealed Data'!$T$4:$T$63,'Revealed Data'!$C$4:$C$63,$R10,'Revealed Data'!$I$4:$I$63,"Baseline")</x:f>
        <x:v>2.142857142857143</x:v>
      </x:c>
      <x:c r="V10" s="92" t="n">
        <x:f>SUMIFS('Revealed Data'!$T$4:$T$63,'Revealed Data'!$C$4:$C$63,$R10,'Revealed Data'!$I$4:$I$63,"LocalizeFlow")</x:f>
        <x:v>4</x:v>
      </x:c>
      <x:c r="W10" s="90" t="str">
        <x:f>IF(V10&gt;U10,"LocalizeFlow",IF(V10&lt;U10,"Baseline","Tie"))</x:f>
        <x:v>LocalizeFlow</x:v>
      </x:c>
    </x:row>
    <x:row r="11">
      <x:c r="R11" s="83" t="str">
        <x:v>G008</x:v>
      </x:c>
      <x:c r="S11" s="83" t="str">
        <x:v>es-MX</x:v>
      </x:c>
      <x:c r="T11" s="83" t="str">
        <x:v>short_video_script</x:v>
      </x:c>
      <x:c r="U11" s="92" t="n">
        <x:f>SUMIFS('Revealed Data'!$T$4:$T$63,'Revealed Data'!$C$4:$C$63,$R11,'Revealed Data'!$I$4:$I$63,"Baseline")</x:f>
        <x:v>3.142857142857143</x:v>
      </x:c>
      <x:c r="V11" s="92" t="n">
        <x:f>SUMIFS('Revealed Data'!$T$4:$T$63,'Revealed Data'!$C$4:$C$63,$R11,'Revealed Data'!$I$4:$I$63,"LocalizeFlow")</x:f>
        <x:v>4.285714285714286</x:v>
      </x:c>
      <x:c r="W11" s="90" t="str">
        <x:f>IF(V11&gt;U11,"LocalizeFlow",IF(V11&lt;U11,"Baseline","Tie"))</x:f>
        <x:v>LocalizeFlow</x:v>
      </x:c>
    </x:row>
    <x:row r="12">
      <x:c r="R12" s="83" t="str">
        <x:v>G009</x:v>
      </x:c>
      <x:c r="S12" s="83" t="str">
        <x:v>en-US</x:v>
      </x:c>
      <x:c r="T12" s="83" t="str">
        <x:v>short_video_script</x:v>
      </x:c>
      <x:c r="U12" s="92" t="n">
        <x:f>SUMIFS('Revealed Data'!$T$4:$T$63,'Revealed Data'!$C$4:$C$63,$R12,'Revealed Data'!$I$4:$I$63,"Baseline")</x:f>
        <x:v>2.4285714285714284</x:v>
      </x:c>
      <x:c r="V12" s="92" t="n">
        <x:f>SUMIFS('Revealed Data'!$T$4:$T$63,'Revealed Data'!$C$4:$C$63,$R12,'Revealed Data'!$I$4:$I$63,"LocalizeFlow")</x:f>
        <x:v>4.285714285714286</x:v>
      </x:c>
      <x:c r="W12" s="90" t="str">
        <x:f>IF(V12&gt;U12,"LocalizeFlow",IF(V12&lt;U12,"Baseline","Tie"))</x:f>
        <x:v>LocalizeFlow</x:v>
      </x:c>
    </x:row>
    <x:row r="13">
      <x:c r="R13" s="83" t="str">
        <x:v>G010</x:v>
      </x:c>
      <x:c r="S13" s="83" t="str">
        <x:v>en-US</x:v>
      </x:c>
      <x:c r="T13" s="83" t="str">
        <x:v>short_video_script</x:v>
      </x:c>
      <x:c r="U13" s="92" t="n">
        <x:f>SUMIFS('Revealed Data'!$T$4:$T$63,'Revealed Data'!$C$4:$C$63,$R13,'Revealed Data'!$I$4:$I$63,"Baseline")</x:f>
        <x:v>3.142857142857143</x:v>
      </x:c>
      <x:c r="V13" s="92" t="n">
        <x:f>SUMIFS('Revealed Data'!$T$4:$T$63,'Revealed Data'!$C$4:$C$63,$R13,'Revealed Data'!$I$4:$I$63,"LocalizeFlow")</x:f>
        <x:v>4.285714285714286</x:v>
      </x:c>
      <x:c r="W13" s="90" t="str">
        <x:f>IF(V13&gt;U13,"LocalizeFlow",IF(V13&lt;U13,"Baseline","Tie"))</x:f>
        <x:v>LocalizeFlow</x:v>
      </x:c>
    </x:row>
    <x:row r="14">
      <x:c r="R14" s="83" t="str">
        <x:v>G011</x:v>
      </x:c>
      <x:c r="S14" s="83" t="str">
        <x:v>es-MX</x:v>
      </x:c>
      <x:c r="T14" s="83" t="str">
        <x:v>social_ad_copy</x:v>
      </x:c>
      <x:c r="U14" s="92" t="n">
        <x:f>SUMIFS('Revealed Data'!$T$4:$T$63,'Revealed Data'!$C$4:$C$63,$R14,'Revealed Data'!$I$4:$I$63,"Baseline")</x:f>
        <x:v>3.4285714285714284</x:v>
      </x:c>
      <x:c r="V14" s="92" t="n">
        <x:f>SUMIFS('Revealed Data'!$T$4:$T$63,'Revealed Data'!$C$4:$C$63,$R14,'Revealed Data'!$I$4:$I$63,"LocalizeFlow")</x:f>
        <x:v>4.428571428571429</x:v>
      </x:c>
      <x:c r="W14" s="90" t="str">
        <x:f>IF(V14&gt;U14,"LocalizeFlow",IF(V14&lt;U14,"Baseline","Tie"))</x:f>
        <x:v>LocalizeFlow</x:v>
      </x:c>
    </x:row>
    <x:row r="15">
      <x:c r="R15" s="83" t="str">
        <x:v>G012</x:v>
      </x:c>
      <x:c r="S15" s="83" t="str">
        <x:v>es-MX</x:v>
      </x:c>
      <x:c r="T15" s="83" t="str">
        <x:v>short_video_script</x:v>
      </x:c>
      <x:c r="U15" s="92" t="n">
        <x:f>SUMIFS('Revealed Data'!$T$4:$T$63,'Revealed Data'!$C$4:$C$63,$R15,'Revealed Data'!$I$4:$I$63,"Baseline")</x:f>
        <x:v>3</x:v>
      </x:c>
      <x:c r="V15" s="92" t="n">
        <x:f>SUMIFS('Revealed Data'!$T$4:$T$63,'Revealed Data'!$C$4:$C$63,$R15,'Revealed Data'!$I$4:$I$63,"LocalizeFlow")</x:f>
        <x:v>4.428571428571429</x:v>
      </x:c>
      <x:c r="W15" s="90" t="str">
        <x:f>IF(V15&gt;U15,"LocalizeFlow",IF(V15&lt;U15,"Baseline","Tie"))</x:f>
        <x:v>LocalizeFlow</x:v>
      </x:c>
    </x:row>
    <x:row r="16">
      <x:c r="R16" s="83" t="str">
        <x:v>G013</x:v>
      </x:c>
      <x:c r="S16" s="83" t="str">
        <x:v>en-US</x:v>
      </x:c>
      <x:c r="T16" s="83" t="str">
        <x:v>short_video_script</x:v>
      </x:c>
      <x:c r="U16" s="92" t="n">
        <x:f>SUMIFS('Revealed Data'!$T$4:$T$63,'Revealed Data'!$C$4:$C$63,$R16,'Revealed Data'!$I$4:$I$63,"Baseline")</x:f>
        <x:v>3.142857142857143</x:v>
      </x:c>
      <x:c r="V16" s="92" t="n">
        <x:f>SUMIFS('Revealed Data'!$T$4:$T$63,'Revealed Data'!$C$4:$C$63,$R16,'Revealed Data'!$I$4:$I$63,"LocalizeFlow")</x:f>
        <x:v>4.285714285714286</x:v>
      </x:c>
      <x:c r="W16" s="90" t="str">
        <x:f>IF(V16&gt;U16,"LocalizeFlow",IF(V16&lt;U16,"Baseline","Tie"))</x:f>
        <x:v>LocalizeFlow</x:v>
      </x:c>
    </x:row>
    <x:row r="17">
      <x:c r="R17" s="83" t="str">
        <x:v>G014</x:v>
      </x:c>
      <x:c r="S17" s="83" t="str">
        <x:v>es-MX</x:v>
      </x:c>
      <x:c r="T17" s="83" t="str">
        <x:v>social_ad_copy</x:v>
      </x:c>
      <x:c r="U17" s="92" t="n">
        <x:f>SUMIFS('Revealed Data'!$T$4:$T$63,'Revealed Data'!$C$4:$C$63,$R17,'Revealed Data'!$I$4:$I$63,"Baseline")</x:f>
        <x:v>3.2857142857142856</x:v>
      </x:c>
      <x:c r="V17" s="92" t="n">
        <x:f>SUMIFS('Revealed Data'!$T$4:$T$63,'Revealed Data'!$C$4:$C$63,$R17,'Revealed Data'!$I$4:$I$63,"LocalizeFlow")</x:f>
        <x:v>4.428571428571429</x:v>
      </x:c>
      <x:c r="W17" s="90" t="str">
        <x:f>IF(V17&gt;U17,"LocalizeFlow",IF(V17&lt;U17,"Baseline","Tie"))</x:f>
        <x:v>LocalizeFlow</x:v>
      </x:c>
    </x:row>
    <x:row r="18">
      <x:c r="R18" s="83" t="str">
        <x:v>G015</x:v>
      </x:c>
      <x:c r="S18" s="83" t="str">
        <x:v>es-MX</x:v>
      </x:c>
      <x:c r="T18" s="83" t="str">
        <x:v>product_listing</x:v>
      </x:c>
      <x:c r="U18" s="92" t="n">
        <x:f>SUMIFS('Revealed Data'!$T$4:$T$63,'Revealed Data'!$C$4:$C$63,$R18,'Revealed Data'!$I$4:$I$63,"Baseline")</x:f>
        <x:v>1.8571428571428572</x:v>
      </x:c>
      <x:c r="V18" s="92" t="n">
        <x:f>SUMIFS('Revealed Data'!$T$4:$T$63,'Revealed Data'!$C$4:$C$63,$R18,'Revealed Data'!$I$4:$I$63,"LocalizeFlow")</x:f>
        <x:v>3.857142857142857</x:v>
      </x:c>
      <x:c r="W18" s="90" t="str">
        <x:f>IF(V18&gt;U18,"LocalizeFlow",IF(V18&lt;U18,"Baseline","Tie"))</x:f>
        <x:v>LocalizeFlow</x:v>
      </x:c>
    </x:row>
    <x:row r="19">
      <x:c r="R19" s="83" t="str">
        <x:v>G016</x:v>
      </x:c>
      <x:c r="S19" s="83" t="str">
        <x:v>en-US</x:v>
      </x:c>
      <x:c r="T19" s="83" t="str">
        <x:v>product_listing</x:v>
      </x:c>
      <x:c r="U19" s="92" t="n">
        <x:f>SUMIFS('Revealed Data'!$T$4:$T$63,'Revealed Data'!$C$4:$C$63,$R19,'Revealed Data'!$I$4:$I$63,"Baseline")</x:f>
        <x:v>2.142857142857143</x:v>
      </x:c>
      <x:c r="V19" s="92" t="n">
        <x:f>SUMIFS('Revealed Data'!$T$4:$T$63,'Revealed Data'!$C$4:$C$63,$R19,'Revealed Data'!$I$4:$I$63,"LocalizeFlow")</x:f>
        <x:v>4.285714285714286</x:v>
      </x:c>
      <x:c r="W19" s="90" t="str">
        <x:f>IF(V19&gt;U19,"LocalizeFlow",IF(V19&lt;U19,"Baseline","Tie"))</x:f>
        <x:v>LocalizeFlow</x:v>
      </x:c>
    </x:row>
    <x:row r="20">
      <x:c r="R20" s="83" t="str">
        <x:v>G017</x:v>
      </x:c>
      <x:c r="S20" s="83" t="str">
        <x:v>en-US</x:v>
      </x:c>
      <x:c r="T20" s="83" t="str">
        <x:v>product_listing</x:v>
      </x:c>
      <x:c r="U20" s="92" t="n">
        <x:f>SUMIFS('Revealed Data'!$T$4:$T$63,'Revealed Data'!$C$4:$C$63,$R20,'Revealed Data'!$I$4:$I$63,"Baseline")</x:f>
        <x:v>2.857142857142857</x:v>
      </x:c>
      <x:c r="V20" s="92" t="n">
        <x:f>SUMIFS('Revealed Data'!$T$4:$T$63,'Revealed Data'!$C$4:$C$63,$R20,'Revealed Data'!$I$4:$I$63,"LocalizeFlow")</x:f>
        <x:v>4</x:v>
      </x:c>
      <x:c r="W20" s="90" t="str">
        <x:f>IF(V20&gt;U20,"LocalizeFlow",IF(V20&lt;U20,"Baseline","Tie"))</x:f>
        <x:v>LocalizeFlow</x:v>
      </x:c>
    </x:row>
    <x:row r="21">
      <x:c r="R21" s="83" t="str">
        <x:v>G018</x:v>
      </x:c>
      <x:c r="S21" s="83" t="str">
        <x:v>en-US</x:v>
      </x:c>
      <x:c r="T21" s="83" t="str">
        <x:v>product_listing</x:v>
      </x:c>
      <x:c r="U21" s="92" t="n">
        <x:f>SUMIFS('Revealed Data'!$T$4:$T$63,'Revealed Data'!$C$4:$C$63,$R21,'Revealed Data'!$I$4:$I$63,"Baseline")</x:f>
        <x:v>2.857142857142857</x:v>
      </x:c>
      <x:c r="V21" s="92" t="n">
        <x:f>SUMIFS('Revealed Data'!$T$4:$T$63,'Revealed Data'!$C$4:$C$63,$R21,'Revealed Data'!$I$4:$I$63,"LocalizeFlow")</x:f>
        <x:v>3.857142857142857</x:v>
      </x:c>
      <x:c r="W21" s="90" t="str">
        <x:f>IF(V21&gt;U21,"LocalizeFlow",IF(V21&lt;U21,"Baseline","Tie"))</x:f>
        <x:v>LocalizeFlow</x:v>
      </x:c>
    </x:row>
    <x:row r="22">
      <x:c r="R22" s="83" t="str">
        <x:v>G019</x:v>
      </x:c>
      <x:c r="S22" s="83" t="str">
        <x:v>en-US</x:v>
      </x:c>
      <x:c r="T22" s="83" t="str">
        <x:v>social_ad_copy</x:v>
      </x:c>
      <x:c r="U22" s="92" t="n">
        <x:f>SUMIFS('Revealed Data'!$T$4:$T$63,'Revealed Data'!$C$4:$C$63,$R22,'Revealed Data'!$I$4:$I$63,"Baseline")</x:f>
        <x:v>2.5714285714285716</x:v>
      </x:c>
      <x:c r="V22" s="92" t="n">
        <x:f>SUMIFS('Revealed Data'!$T$4:$T$63,'Revealed Data'!$C$4:$C$63,$R22,'Revealed Data'!$I$4:$I$63,"LocalizeFlow")</x:f>
        <x:v>4.285714285714286</x:v>
      </x:c>
      <x:c r="W22" s="90" t="str">
        <x:f>IF(V22&gt;U22,"LocalizeFlow",IF(V22&lt;U22,"Baseline","Tie"))</x:f>
        <x:v>LocalizeFlow</x:v>
      </x:c>
    </x:row>
    <x:row r="23">
      <x:c r="R23" s="83" t="str">
        <x:v>G020</x:v>
      </x:c>
      <x:c r="S23" s="83" t="str">
        <x:v>es-MX</x:v>
      </x:c>
      <x:c r="T23" s="83" t="str">
        <x:v>product_listing</x:v>
      </x:c>
      <x:c r="U23" s="92" t="n">
        <x:f>SUMIFS('Revealed Data'!$T$4:$T$63,'Revealed Data'!$C$4:$C$63,$R23,'Revealed Data'!$I$4:$I$63,"Baseline")</x:f>
        <x:v>2.857142857142857</x:v>
      </x:c>
      <x:c r="V23" s="92" t="n">
        <x:f>SUMIFS('Revealed Data'!$T$4:$T$63,'Revealed Data'!$C$4:$C$63,$R23,'Revealed Data'!$I$4:$I$63,"LocalizeFlow")</x:f>
        <x:v>4.142857142857143</x:v>
      </x:c>
      <x:c r="W23" s="90" t="str">
        <x:f>IF(V23&gt;U23,"LocalizeFlow",IF(V23&lt;U23,"Baseline","Tie"))</x:f>
        <x:v>LocalizeFlow</x:v>
      </x:c>
    </x:row>
    <x:row r="24">
      <x:c r="R24" s="83" t="str">
        <x:v>G021</x:v>
      </x:c>
      <x:c r="S24" s="83" t="str">
        <x:v>en-US</x:v>
      </x:c>
      <x:c r="T24" s="83" t="str">
        <x:v>product_listing</x:v>
      </x:c>
      <x:c r="U24" s="92" t="n">
        <x:f>SUMIFS('Revealed Data'!$T$4:$T$63,'Revealed Data'!$C$4:$C$63,$R24,'Revealed Data'!$I$4:$I$63,"Baseline")</x:f>
        <x:v>2.857142857142857</x:v>
      </x:c>
      <x:c r="V24" s="92" t="n">
        <x:f>SUMIFS('Revealed Data'!$T$4:$T$63,'Revealed Data'!$C$4:$C$63,$R24,'Revealed Data'!$I$4:$I$63,"LocalizeFlow")</x:f>
        <x:v>4</x:v>
      </x:c>
      <x:c r="W24" s="90" t="str">
        <x:f>IF(V24&gt;U24,"LocalizeFlow",IF(V24&lt;U24,"Baseline","Tie"))</x:f>
        <x:v>LocalizeFlow</x:v>
      </x:c>
    </x:row>
    <x:row r="25">
      <x:c r="R25" s="83" t="str">
        <x:v>G022</x:v>
      </x:c>
      <x:c r="S25" s="83" t="str">
        <x:v>es-MX</x:v>
      </x:c>
      <x:c r="T25" s="83" t="str">
        <x:v>product_listing</x:v>
      </x:c>
      <x:c r="U25" s="92" t="n">
        <x:f>SUMIFS('Revealed Data'!$T$4:$T$63,'Revealed Data'!$C$4:$C$63,$R25,'Revealed Data'!$I$4:$I$63,"Baseline")</x:f>
        <x:v>2.7142857142857144</x:v>
      </x:c>
      <x:c r="V25" s="92" t="n">
        <x:f>SUMIFS('Revealed Data'!$T$4:$T$63,'Revealed Data'!$C$4:$C$63,$R25,'Revealed Data'!$I$4:$I$63,"LocalizeFlow")</x:f>
        <x:v>4.142857142857143</x:v>
      </x:c>
      <x:c r="W25" s="90" t="str">
        <x:f>IF(V25&gt;U25,"LocalizeFlow",IF(V25&lt;U25,"Baseline","Tie"))</x:f>
        <x:v>LocalizeFlow</x:v>
      </x:c>
    </x:row>
    <x:row r="26">
      <x:c r="R26" s="83" t="str">
        <x:v>G023</x:v>
      </x:c>
      <x:c r="S26" s="83" t="str">
        <x:v>en-US</x:v>
      </x:c>
      <x:c r="T26" s="83" t="str">
        <x:v>social_ad_copy</x:v>
      </x:c>
      <x:c r="U26" s="92" t="n">
        <x:f>SUMIFS('Revealed Data'!$T$4:$T$63,'Revealed Data'!$C$4:$C$63,$R26,'Revealed Data'!$I$4:$I$63,"Baseline")</x:f>
        <x:v>3.2857142857142856</x:v>
      </x:c>
      <x:c r="V26" s="92" t="n">
        <x:f>SUMIFS('Revealed Data'!$T$4:$T$63,'Revealed Data'!$C$4:$C$63,$R26,'Revealed Data'!$I$4:$I$63,"LocalizeFlow")</x:f>
        <x:v>4.285714285714286</x:v>
      </x:c>
      <x:c r="W26" s="90" t="str">
        <x:f>IF(V26&gt;U26,"LocalizeFlow",IF(V26&lt;U26,"Baseline","Tie"))</x:f>
        <x:v>LocalizeFlow</x:v>
      </x:c>
    </x:row>
    <x:row r="27">
      <x:c r="R27" s="83" t="str">
        <x:v>G024</x:v>
      </x:c>
      <x:c r="S27" s="83" t="str">
        <x:v>en-US</x:v>
      </x:c>
      <x:c r="T27" s="83" t="str">
        <x:v>social_ad_copy</x:v>
      </x:c>
      <x:c r="U27" s="92" t="n">
        <x:f>SUMIFS('Revealed Data'!$T$4:$T$63,'Revealed Data'!$C$4:$C$63,$R27,'Revealed Data'!$I$4:$I$63,"Baseline")</x:f>
        <x:v>3.2857142857142856</x:v>
      </x:c>
      <x:c r="V27" s="92" t="n">
        <x:f>SUMIFS('Revealed Data'!$T$4:$T$63,'Revealed Data'!$C$4:$C$63,$R27,'Revealed Data'!$I$4:$I$63,"LocalizeFlow")</x:f>
        <x:v>4.285714285714286</x:v>
      </x:c>
      <x:c r="W27" s="90" t="str">
        <x:f>IF(V27&gt;U27,"LocalizeFlow",IF(V27&lt;U27,"Baseline","Tie"))</x:f>
        <x:v>LocalizeFlow</x:v>
      </x:c>
    </x:row>
    <x:row r="28">
      <x:c r="R28" s="83" t="str">
        <x:v>G025</x:v>
      </x:c>
      <x:c r="S28" s="83" t="str">
        <x:v>es-MX</x:v>
      </x:c>
      <x:c r="T28" s="83" t="str">
        <x:v>social_ad_copy</x:v>
      </x:c>
      <x:c r="U28" s="92" t="n">
        <x:f>SUMIFS('Revealed Data'!$T$4:$T$63,'Revealed Data'!$C$4:$C$63,$R28,'Revealed Data'!$I$4:$I$63,"Baseline")</x:f>
        <x:v>2.5714285714285716</x:v>
      </x:c>
      <x:c r="V28" s="92" t="n">
        <x:f>SUMIFS('Revealed Data'!$T$4:$T$63,'Revealed Data'!$C$4:$C$63,$R28,'Revealed Data'!$I$4:$I$63,"LocalizeFlow")</x:f>
        <x:v>4.428571428571429</x:v>
      </x:c>
      <x:c r="W28" s="90" t="str">
        <x:f>IF(V28&gt;U28,"LocalizeFlow",IF(V28&lt;U28,"Baseline","Tie"))</x:f>
        <x:v>LocalizeFlow</x:v>
      </x:c>
    </x:row>
    <x:row r="29">
      <x:c r="R29" s="83" t="str">
        <x:v>G026</x:v>
      </x:c>
      <x:c r="S29" s="83" t="str">
        <x:v>en-US</x:v>
      </x:c>
      <x:c r="T29" s="83" t="str">
        <x:v>social_ad_copy</x:v>
      </x:c>
      <x:c r="U29" s="92" t="n">
        <x:f>SUMIFS('Revealed Data'!$T$4:$T$63,'Revealed Data'!$C$4:$C$63,$R29,'Revealed Data'!$I$4:$I$63,"Baseline")</x:f>
        <x:v>3.2857142857142856</x:v>
      </x:c>
      <x:c r="V29" s="92" t="n">
        <x:f>SUMIFS('Revealed Data'!$T$4:$T$63,'Revealed Data'!$C$4:$C$63,$R29,'Revealed Data'!$I$4:$I$63,"LocalizeFlow")</x:f>
        <x:v>4.285714285714286</x:v>
      </x:c>
      <x:c r="W29" s="90" t="str">
        <x:f>IF(V29&gt;U29,"LocalizeFlow",IF(V29&lt;U29,"Baseline","Tie"))</x:f>
        <x:v>LocalizeFlow</x:v>
      </x:c>
    </x:row>
    <x:row r="30">
      <x:c r="R30" s="83" t="str">
        <x:v>G027</x:v>
      </x:c>
      <x:c r="S30" s="83" t="str">
        <x:v>es-MX</x:v>
      </x:c>
      <x:c r="T30" s="83" t="str">
        <x:v>product_listing</x:v>
      </x:c>
      <x:c r="U30" s="92" t="n">
        <x:f>SUMIFS('Revealed Data'!$T$4:$T$63,'Revealed Data'!$C$4:$C$63,$R30,'Revealed Data'!$I$4:$I$63,"Baseline")</x:f>
        <x:v>1.8571428571428572</x:v>
      </x:c>
      <x:c r="V30" s="92" t="n">
        <x:f>SUMIFS('Revealed Data'!$T$4:$T$63,'Revealed Data'!$C$4:$C$63,$R30,'Revealed Data'!$I$4:$I$63,"LocalizeFlow")</x:f>
        <x:v>4.142857142857143</x:v>
      </x:c>
      <x:c r="W30" s="90" t="str">
        <x:f>IF(V30&gt;U30,"LocalizeFlow",IF(V30&lt;U30,"Baseline","Tie"))</x:f>
        <x:v>LocalizeFlow</x:v>
      </x:c>
    </x:row>
    <x:row r="31">
      <x:c r="R31" s="83" t="str">
        <x:v>G028</x:v>
      </x:c>
      <x:c r="S31" s="83" t="str">
        <x:v>es-MX</x:v>
      </x:c>
      <x:c r="T31" s="83" t="str">
        <x:v>short_video_script</x:v>
      </x:c>
      <x:c r="U31" s="92" t="n">
        <x:f>SUMIFS('Revealed Data'!$T$4:$T$63,'Revealed Data'!$C$4:$C$63,$R31,'Revealed Data'!$I$4:$I$63,"Baseline")</x:f>
        <x:v>3</x:v>
      </x:c>
      <x:c r="V31" s="92" t="n">
        <x:f>SUMIFS('Revealed Data'!$T$4:$T$63,'Revealed Data'!$C$4:$C$63,$R31,'Revealed Data'!$I$4:$I$63,"LocalizeFlow")</x:f>
        <x:v>4.428571428571429</x:v>
      </x:c>
      <x:c r="W31" s="90" t="str">
        <x:f>IF(V31&gt;U31,"LocalizeFlow",IF(V31&lt;U31,"Baseline","Tie"))</x:f>
        <x:v>LocalizeFlow</x:v>
      </x:c>
    </x:row>
    <x:row r="32">
      <x:c r="R32" s="83" t="str">
        <x:v>G029</x:v>
      </x:c>
      <x:c r="S32" s="83" t="str">
        <x:v>es-MX</x:v>
      </x:c>
      <x:c r="T32" s="83" t="str">
        <x:v>product_listing</x:v>
      </x:c>
      <x:c r="U32" s="92" t="n">
        <x:f>SUMIFS('Revealed Data'!$T$4:$T$63,'Revealed Data'!$C$4:$C$63,$R32,'Revealed Data'!$I$4:$I$63,"Baseline")</x:f>
        <x:v>2.7142857142857144</x:v>
      </x:c>
      <x:c r="V32" s="92" t="n">
        <x:f>SUMIFS('Revealed Data'!$T$4:$T$63,'Revealed Data'!$C$4:$C$63,$R32,'Revealed Data'!$I$4:$I$63,"LocalizeFlow")</x:f>
        <x:v>4.142857142857143</x:v>
      </x:c>
      <x:c r="W32" s="90" t="str">
        <x:f>IF(V32&gt;U32,"LocalizeFlow",IF(V32&lt;U32,"Baseline","Tie"))</x:f>
        <x:v>LocalizeFlow</x:v>
      </x:c>
    </x:row>
    <x:row r="33">
      <x:c r="R33" s="83" t="str">
        <x:v>G030</x:v>
      </x:c>
      <x:c r="S33" s="83" t="str">
        <x:v>es-MX</x:v>
      </x:c>
      <x:c r="T33" s="83" t="str">
        <x:v>social_ad_copy</x:v>
      </x:c>
      <x:c r="U33" s="92" t="n">
        <x:f>SUMIFS('Revealed Data'!$T$4:$T$63,'Revealed Data'!$C$4:$C$63,$R33,'Revealed Data'!$I$4:$I$63,"Baseline")</x:f>
        <x:v>2.5714285714285716</x:v>
      </x:c>
      <x:c r="V33" s="92" t="n">
        <x:f>SUMIFS('Revealed Data'!$T$4:$T$63,'Revealed Data'!$C$4:$C$63,$R33,'Revealed Data'!$I$4:$I$63,"LocalizeFlow")</x:f>
        <x:v>4.285714285714286</x:v>
      </x:c>
      <x:c r="W33" s="90" t="str">
        <x:f>IF(V33&gt;U33,"LocalizeFlow",IF(V33&lt;U33,"Baseline","Tie"))</x:f>
        <x:v>LocalizeFlow</x:v>
      </x:c>
    </x:row>
  </x:sheetData>
  <x:mergeCells>
    <x:mergeCell ref="A1:W1"/>
    <x:mergeCell ref="A2:W2"/>
  </x:mergeCells>
  <x:conditionalFormatting sqref="A3:O9">
    <x:cfRule type="expression" dxfId="12" priority="1">
      <x:formula>$B4="LocalizeFlow"</x:formula>
    </x:cfRule>
  </x:conditionalFormatting>
  <x:conditionalFormatting sqref="W4:W33">
    <x:cfRule type="containsText" dxfId="13" priority="2" operator="containsText" text="LocalizeFlow"/>
  </x:conditionalFormatting>
  <x:pageMargins left="0.7" right="0.7" top="0.75" bottom="0.75" header="0.3" footer="0.3"/>
  <x:tableParts count="2">
    <x:tablePart xmlns:r="http://schemas.openxmlformats.org/officeDocument/2006/relationships" r:id="Rfe87a89a675d4c52"/>
    <x:tablePart xmlns:r="http://schemas.openxmlformats.org/officeDocument/2006/relationships" r:id="R0438aa447b6d4dd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1" hidden="0" customWidth="1"/>
    <x:col min="2" max="2" width="15" hidden="0" customWidth="1"/>
    <x:col min="3" max="3" width="11" hidden="0" customWidth="1"/>
    <x:col min="4" max="4" width="18" hidden="0" customWidth="1"/>
    <x:col min="5" max="5" width="10" hidden="0" customWidth="1"/>
    <x:col min="6" max="6" width="11" hidden="0" customWidth="1"/>
    <x:col min="7" max="7" width="22" hidden="0" customWidth="1"/>
    <x:col min="8" max="8" width="11" hidden="0" customWidth="1"/>
    <x:col min="9" max="9" width="17" hidden="0" customWidth="1"/>
    <x:col min="10" max="10" width="62" hidden="0" customWidth="1"/>
    <x:col min="11" max="11" width="14" hidden="0" customWidth="1"/>
    <x:col min="12" max="12" width="11" hidden="0" customWidth="1"/>
    <x:col min="13" max="13" width="17" hidden="0" customWidth="1"/>
    <x:col min="14" max="14" width="17" hidden="0" customWidth="1"/>
    <x:col min="15" max="15" width="13" hidden="0" customWidth="1"/>
    <x:col min="16" max="16" width="16" hidden="0" customWidth="1"/>
    <x:col min="17" max="17" width="13" hidden="0" customWidth="1"/>
    <x:col min="18" max="18" width="20" hidden="0" customWidth="1"/>
    <x:col min="19" max="19" width="13" hidden="0" customWidth="1"/>
    <x:col min="20" max="20" width="12" hidden="0" customWidth="1"/>
    <x:col min="21" max="21" width="15" hidden="0" customWidth="1"/>
    <x:col min="22" max="22" width="14" hidden="0" customWidth="1"/>
    <x:col min="23" max="23" width="13" hidden="0" customWidth="1"/>
    <x:col min="24" max="24" width="19" hidden="0" customWidth="1"/>
    <x:col min="25" max="25" width="14" hidden="0" customWidth="1"/>
    <x:col min="26" max="26" width="28" hidden="0" customWidth="1"/>
    <x:col min="27" max="27" width="48" hidden="0" customWidth="1"/>
    <x:col min="28" max="28" width="16" hidden="0" customWidth="1"/>
    <x:col min="29" max="29" width="68" hidden="0" customWidth="1"/>
  </x:cols>
  <x:sheetData>
    <x:row r="1" ht="38" customHeight="1">
      <x:c r="A1" s="64" t="str">
        <x:v>Revealed Data｜60 Scored Candidates</x:v>
      </x:c>
      <x:c r="B1" s="64"/>
      <x:c r="C1" s="64"/>
      <x:c r="D1" s="64"/>
      <x:c r="E1" s="64"/>
      <x:c r="F1" s="64"/>
      <x:c r="G1" s="64"/>
      <x:c r="H1" s="64"/>
      <x:c r="I1" s="64"/>
      <x:c r="J1" s="64"/>
      <x:c r="K1" s="64"/>
      <x:c r="L1" s="64"/>
      <x:c r="M1" s="64"/>
      <x:c r="N1" s="64"/>
      <x:c r="O1" s="64"/>
      <x:c r="P1" s="64"/>
      <x:c r="Q1" s="64"/>
      <x:c r="R1" s="64"/>
      <x:c r="S1" s="64"/>
      <x:c r="T1" s="64"/>
      <x:c r="U1" s="64"/>
      <x:c r="V1" s="64"/>
      <x:c r="W1" s="64"/>
      <x:c r="X1" s="64"/>
      <x:c r="Y1" s="64"/>
      <x:c r="Z1" s="64"/>
      <x:c r="AA1" s="64"/>
      <x:c r="AB1" s="64"/>
      <x:c r="AC1" s="64"/>
    </x:row>
    <x:row r="2">
      <x:c r="A2" s="67" t="str">
        <x:v>Source: human_evaluation_scored.xlsx; version mapping: blind_key.json. Candidate content hashes were rechecked before reveal.</x:v>
      </x:c>
      <x:c r="B2" s="67"/>
      <x:c r="C2" s="67"/>
      <x:c r="D2" s="67"/>
      <x:c r="E2" s="67"/>
      <x:c r="F2" s="67"/>
      <x:c r="G2" s="67"/>
      <x:c r="H2" s="67"/>
      <x:c r="I2" s="67"/>
      <x:c r="J2" s="67"/>
      <x:c r="K2" s="67"/>
      <x:c r="L2" s="67"/>
      <x:c r="M2" s="67"/>
      <x:c r="N2" s="67"/>
      <x:c r="O2" s="67"/>
      <x:c r="P2" s="67"/>
      <x:c r="Q2" s="67"/>
      <x:c r="R2" s="67"/>
      <x:c r="S2" s="67"/>
      <x:c r="T2" s="67"/>
      <x:c r="U2" s="67"/>
      <x:c r="V2" s="67"/>
      <x:c r="W2" s="67"/>
      <x:c r="X2" s="67"/>
      <x:c r="Y2" s="67"/>
      <x:c r="Z2" s="67"/>
      <x:c r="AA2" s="67"/>
      <x:c r="AB2" s="67"/>
      <x:c r="AC2" s="67"/>
    </x:row>
    <x:row r="3">
      <x:c r="A3" s="79" t="str">
        <x:v>Blind Order</x:v>
      </x:c>
      <x:c r="B3" s="80" t="str">
        <x:v>Candidate ID</x:v>
      </x:c>
      <x:c r="C3" s="80" t="str">
        <x:v>Group ID</x:v>
      </x:c>
      <x:c r="D3" s="80" t="str">
        <x:v>SKU</x:v>
      </x:c>
      <x:c r="E3" s="80" t="str">
        <x:v>Market</x:v>
      </x:c>
      <x:c r="F3" s="80" t="str">
        <x:v>Language</x:v>
      </x:c>
      <x:c r="G3" s="80" t="str">
        <x:v>Content Type</x:v>
      </x:c>
      <x:c r="H3" s="80" t="str">
        <x:v>Candidate</x:v>
      </x:c>
      <x:c r="I3" s="80" t="str">
        <x:v>Underlying Version</x:v>
      </x:c>
      <x:c r="J3" s="80" t="str">
        <x:v>Content</x:v>
      </x:c>
      <x:c r="K3" s="80" t="str">
        <x:v>Fact Accuracy</x:v>
      </x:c>
      <x:c r="L3" s="80" t="str">
        <x:v>Fact Pass</x:v>
      </x:c>
      <x:c r="M3" s="80" t="str">
        <x:v>Information Completeness</x:v>
      </x:c>
      <x:c r="N3" s="80" t="str">
        <x:v>Language Naturalness</x:v>
      </x:c>
      <x:c r="O3" s="80" t="str">
        <x:v>Cultural Fit</x:v>
      </x:c>
      <x:c r="P3" s="80" t="str">
        <x:v>Brand Consistency</x:v>
      </x:c>
      <x:c r="Q3" s="80" t="str">
        <x:v>Platform Fit</x:v>
      </x:c>
      <x:c r="R3" s="80" t="str">
        <x:v>Marketing Persuasiveness</x:v>
      </x:c>
      <x:c r="S3" s="80" t="str">
        <x:v>Publishability</x:v>
      </x:c>
      <x:c r="T3" s="80" t="str">
        <x:v>Mean Score</x:v>
      </x:c>
      <x:c r="U3" s="80" t="str">
        <x:v>Modification Count</x:v>
      </x:c>
      <x:c r="V3" s="80" t="str">
        <x:v>Review Minutes</x:v>
      </x:c>
      <x:c r="W3" s="80" t="str">
        <x:v>Review Date</x:v>
      </x:c>
      <x:c r="X3" s="80" t="str">
        <x:v>Reviewer ID</x:v>
      </x:c>
      <x:c r="Y3" s="80" t="str">
        <x:v>Review Status</x:v>
      </x:c>
      <x:c r="Z3" s="80" t="str">
        <x:v>Failure Tags</x:v>
      </x:c>
      <x:c r="AA3" s="80" t="str">
        <x:v>Reviewer Comments</x:v>
      </x:c>
      <x:c r="AB3" s="80" t="str">
        <x:v>Threshold Failure</x:v>
      </x:c>
      <x:c r="AC3" s="81" t="str">
        <x:v>Content SHA-256</x:v>
      </x:c>
    </x:row>
    <x:row r="4" ht="78" customHeight="1">
      <x:c r="A4" s="84" t="n">
        <x:v>1</x:v>
      </x:c>
      <x:c r="B4" s="84" t="str">
        <x:v>G001-A</x:v>
      </x:c>
      <x:c r="C4" s="84" t="str">
        <x:v>G001</x:v>
      </x:c>
      <x:c r="D4" s="84" t="str">
        <x:v>MV-CREAM-001</x:v>
      </x:c>
      <x:c r="E4" s="84" t="str">
        <x:v>US</x:v>
      </x:c>
      <x:c r="F4" s="84" t="str">
        <x:v>en-US</x:v>
      </x:c>
      <x:c r="G4" s="84" t="str">
        <x:v>short_video_script</x:v>
      </x:c>
      <x:c r="H4" s="84" t="str">
        <x:v>A</x:v>
      </x:c>
      <x:c r="I4" s="84" t="str">
        <x:v>Baseline</x:v>
      </x:c>
      <x:c r="J4" s="88" t="str">
        <x:v>0–3s: Show Fragrance-Free Face Cream. Voice: Moisturizes dry skin.
3–10s: Show use. Voice: Put a suitable amount on clean face and neck and use sunscreen in daytime.
10–15s: Show package. Text: 50 mL. Buy now.
CAPTION: Fragrance-Free Face Cream for daily skin care.</x:v>
      </x:c>
      <x:c r="K4" s="85" t="str">
        <x:v>Pass</x:v>
      </x:c>
      <x:c r="L4" s="85" t="n">
        <x:v>1</x:v>
      </x:c>
      <x:c r="M4" s="85" t="n">
        <x:v>3</x:v>
      </x:c>
      <x:c r="N4" s="85" t="n">
        <x:v>3</x:v>
      </x:c>
      <x:c r="O4" s="85" t="n">
        <x:v>3</x:v>
      </x:c>
      <x:c r="P4" s="85" t="n">
        <x:v>4</x:v>
      </x:c>
      <x:c r="Q4" s="85" t="n">
        <x:v>3</x:v>
      </x:c>
      <x:c r="R4" s="85" t="n">
        <x:v>3</x:v>
      </x:c>
      <x:c r="S4" s="85" t="n">
        <x:v>3</x:v>
      </x:c>
      <x:c r="T4" s="86" t="n">
        <x:v>3.142857142857143</x:v>
      </x:c>
      <x:c r="U4" s="85" t="n">
        <x:v>3</x:v>
      </x:c>
      <x:c r="V4" s="85" t="n">
        <x:v>5</x:v>
      </x:c>
      <x:c r="W4" s="87" t="n">
        <x:v>46231</x:v>
      </x:c>
      <x:c r="X4" s="85" t="str">
        <x:v>Reviewer-01</x:v>
      </x:c>
      <x:c r="Y4" s="85" t="str">
        <x:v>Complete</x:v>
      </x:c>
      <x:c r="Z4" s="85" t="str">
        <x:v>None</x:v>
      </x:c>
      <x:c r="AA4" s="88" t="str">
        <x:v>事实与15秒结构基本合格，但措辞偏泛且略生硬；建议强化差异化成分卖点并补充AIGC标识。</x:v>
      </x:c>
      <x:c r="AB4" s="85" t="str">
        <x:v>Reviewed</x:v>
      </x:c>
      <x:c r="AC4" s="85" t="str">
        <x:v>85cd16bbf5aa6faf75c9d64d966296af0dd5b778a0bbc0ddf368c8d841b92883</x:v>
      </x:c>
    </x:row>
    <x:row r="5" ht="78" customHeight="1">
      <x:c r="A5" s="84" t="n">
        <x:v>2</x:v>
      </x:c>
      <x:c r="B5" s="84" t="str">
        <x:v>G001-B</x:v>
      </x:c>
      <x:c r="C5" s="84" t="str">
        <x:v>G001</x:v>
      </x:c>
      <x:c r="D5" s="84" t="str">
        <x:v>MV-CREAM-001</x:v>
      </x:c>
      <x:c r="E5" s="84" t="str">
        <x:v>US</x:v>
      </x:c>
      <x:c r="F5" s="84" t="str">
        <x:v>en-US</x:v>
      </x:c>
      <x:c r="G5" s="84" t="str">
        <x:v>short_video_script</x:v>
      </x:c>
      <x:c r="H5" s="84" t="str">
        <x:v>B</x:v>
      </x:c>
      <x:c r="I5" s="84" t="str">
        <x:v>LocalizeFlow</x:v>
      </x:c>
      <x:c r="J5" s="88" t="str">
        <x:v>00:00–00:03 HOOK — Visual: Product in a simple routine. Voice: A fragrance-free moisturizing step.
00:03–00:08 VERIFIED FEATURE — Visual: Texture and package. Voice: A cream texture made without added fragrance.
00:08–00:13 USE + EXPERIENCE — Visual: Demonstrate use. Voice: Helps skin feel soft and moisturized. Apply to a clean face and neck; follow with sunscreen during the day.
00:13–00:15 CTA — On-screen: See product details.
CAPTION: Made with squalane, panthenol and beta-glucan to help skin feel soft and moisturized.</x:v>
      </x:c>
      <x:c r="K5" s="85" t="str">
        <x:v>Pass</x:v>
      </x:c>
      <x:c r="L5" s="85" t="n">
        <x:v>1</x:v>
      </x:c>
      <x:c r="M5" s="85" t="n">
        <x:v>4</x:v>
      </x:c>
      <x:c r="N5" s="85" t="n">
        <x:v>5</x:v>
      </x:c>
      <x:c r="O5" s="85" t="n">
        <x:v>4</x:v>
      </x:c>
      <x:c r="P5" s="85" t="n">
        <x:v>5</x:v>
      </x:c>
      <x:c r="Q5" s="85" t="n">
        <x:v>4</x:v>
      </x:c>
      <x:c r="R5" s="85" t="n">
        <x:v>4</x:v>
      </x:c>
      <x:c r="S5" s="85" t="n">
        <x:v>4</x:v>
      </x:c>
      <x:c r="T5" s="86" t="n">
        <x:v>4.285714285714286</x:v>
      </x:c>
      <x:c r="U5" s="85" t="n">
        <x:v>1</x:v>
      </x:c>
      <x:c r="V5" s="85" t="n">
        <x:v>4</x:v>
      </x:c>
      <x:c r="W5" s="87" t="n">
        <x:v>46231</x:v>
      </x:c>
      <x:c r="X5" s="85" t="str">
        <x:v>Reviewer-01</x:v>
      </x:c>
      <x:c r="Y5" s="85" t="str">
        <x:v>Complete</x:v>
      </x:c>
      <x:c r="Z5" s="85" t="str">
        <x:v>None</x:v>
      </x:c>
      <x:c r="AA5" s="88" t="str">
        <x:v>卖点、用法与CTA衔接清楚，语言自然且品牌语气克制；发布前补充AIGC标识即可。</x:v>
      </x:c>
      <x:c r="AB5" s="85" t="str">
        <x:v>Reviewed</x:v>
      </x:c>
      <x:c r="AC5" s="85" t="str">
        <x:v>40d41c5de938b42bec405232da767f8d72fce18df00db2ee1e9698b15126f10e</x:v>
      </x:c>
    </x:row>
    <x:row r="6" ht="78" customHeight="1">
      <x:c r="A6" s="84" t="n">
        <x:v>3</x:v>
      </x:c>
      <x:c r="B6" s="84" t="str">
        <x:v>G002-A</x:v>
      </x:c>
      <x:c r="C6" s="84" t="str">
        <x:v>G002</x:v>
      </x:c>
      <x:c r="D6" s="84" t="str">
        <x:v>MV-KIT-001</x:v>
      </x:c>
      <x:c r="E6" s="84" t="str">
        <x:v>US</x:v>
      </x:c>
      <x:c r="F6" s="84" t="str">
        <x:v>en-US</x:v>
      </x:c>
      <x:c r="G6" s="84" t="str">
        <x:v>social_ad_copy</x:v>
      </x:c>
      <x:c r="H6" s="84" t="str">
        <x:v>A</x:v>
      </x:c>
      <x:c r="I6" s="84" t="str">
        <x:v>Baseline</x:v>
      </x:c>
      <x:c r="J6" s="88" t="str">
        <x:v>HOOK: Covers all of your skincare needs while traveling.
BODY: three fragrance-free mini products in one paper box. Contains a 30 mL cleanser, 10 mL serum and 15 mL moisturizer. Use cleanser first, serum second and cream third.
CTA: Buy now.</x:v>
      </x:c>
      <x:c r="K6" s="85" t="str">
        <x:v>Fail</x:v>
      </x:c>
      <x:c r="L6" s="85" t="n">
        <x:v>0</x:v>
      </x:c>
      <x:c r="M6" s="85" t="n">
        <x:v>4</x:v>
      </x:c>
      <x:c r="N6" s="85" t="n">
        <x:v>3</x:v>
      </x:c>
      <x:c r="O6" s="85" t="n">
        <x:v>3</x:v>
      </x:c>
      <x:c r="P6" s="85" t="n">
        <x:v>1</x:v>
      </x:c>
      <x:c r="Q6" s="85" t="n">
        <x:v>3</x:v>
      </x:c>
      <x:c r="R6" s="85" t="n">
        <x:v>3</x:v>
      </x:c>
      <x:c r="S6" s="85" t="n">
        <x:v>2</x:v>
      </x:c>
      <x:c r="T6" s="86" t="n">
        <x:v>2.7142857142857144</x:v>
      </x:c>
      <x:c r="U6" s="85" t="n">
        <x:v>3</x:v>
      </x:c>
      <x:c r="V6" s="85" t="n">
        <x:v>6</x:v>
      </x:c>
      <x:c r="W6" s="87" t="n">
        <x:v>46231</x:v>
      </x:c>
      <x:c r="X6" s="85" t="str">
        <x:v>Reviewer-01</x:v>
      </x:c>
      <x:c r="Y6" s="85" t="str">
        <x:v>Complete</x:v>
      </x:c>
      <x:c r="Z6" s="85" t="str">
        <x:v>Prohibited claim; Brand risk</x:v>
      </x:c>
      <x:c r="AA6" s="88" t="str">
        <x:v>“Covers all of your skincare needs”属于明确越界的全能功效表述；需改写Hook并补齐平台与AI使用信息。</x:v>
      </x:c>
      <x:c r="AB6" s="85" t="str">
        <x:v>Failure</x:v>
      </x:c>
      <x:c r="AC6" s="85" t="str">
        <x:v>ced9fc72fbb9702d2aa414889d81679e4b2c50ce5d31ec30c36f0330e17c35fa</x:v>
      </x:c>
    </x:row>
    <x:row r="7" ht="78" customHeight="1">
      <x:c r="A7" s="84" t="n">
        <x:v>4</x:v>
      </x:c>
      <x:c r="B7" s="84" t="str">
        <x:v>G002-B</x:v>
      </x:c>
      <x:c r="C7" s="84" t="str">
        <x:v>G002</x:v>
      </x:c>
      <x:c r="D7" s="84" t="str">
        <x:v>MV-KIT-001</x:v>
      </x:c>
      <x:c r="E7" s="84" t="str">
        <x:v>US</x:v>
      </x:c>
      <x:c r="F7" s="84" t="str">
        <x:v>en-US</x:v>
      </x:c>
      <x:c r="G7" s="84" t="str">
        <x:v>social_ad_copy</x:v>
      </x:c>
      <x:c r="H7" s="84" t="str">
        <x:v>B</x:v>
      </x:c>
      <x:c r="I7" s="84" t="str">
        <x:v>LocalizeFlow</x:v>
      </x:c>
      <x:c r="J7" s="88" t="str">
        <x:v>HOOK: Three simple steps in a travel-size set.
BODY: A fragrance-free cleanser, serum and moisturizer organized in one compact paper box. Use the cleanser, serum and moisturizer in that order, following each product's directions.
CTA: See product details.</x:v>
      </x:c>
      <x:c r="K7" s="85" t="str">
        <x:v>Pass</x:v>
      </x:c>
      <x:c r="L7" s="85" t="n">
        <x:v>1</x:v>
      </x:c>
      <x:c r="M7" s="85" t="n">
        <x:v>3</x:v>
      </x:c>
      <x:c r="N7" s="85" t="n">
        <x:v>5</x:v>
      </x:c>
      <x:c r="O7" s="85" t="n">
        <x:v>4</x:v>
      </x:c>
      <x:c r="P7" s="85" t="n">
        <x:v>5</x:v>
      </x:c>
      <x:c r="Q7" s="85" t="n">
        <x:v>4</x:v>
      </x:c>
      <x:c r="R7" s="85" t="n">
        <x:v>4</x:v>
      </x:c>
      <x:c r="S7" s="85" t="n">
        <x:v>4</x:v>
      </x:c>
      <x:c r="T7" s="86" t="n">
        <x:v>4.142857142857143</x:v>
      </x:c>
      <x:c r="U7" s="85" t="n">
        <x:v>1</x:v>
      </x:c>
      <x:c r="V7" s="85" t="n">
        <x:v>4</x:v>
      </x:c>
      <x:c r="W7" s="87" t="n">
        <x:v>46231</x:v>
      </x:c>
      <x:c r="X7" s="85" t="str">
        <x:v>Reviewer-01</x:v>
      </x:c>
      <x:c r="Y7" s="85" t="str">
        <x:v>Complete</x:v>
      </x:c>
      <x:c r="Z7" s="85" t="str">
        <x:v>None</x:v>
      </x:c>
      <x:c r="AA7" s="88" t="str">
        <x:v>三步旅行场景明确，表述可信且CTA适度；可补充容量信息和AI使用状态。</x:v>
      </x:c>
      <x:c r="AB7" s="85" t="str">
        <x:v>Reviewed</x:v>
      </x:c>
      <x:c r="AC7" s="85" t="str">
        <x:v>c1c19be38b146b47291a38cb71b3071f398ff18ed7857ce2a265bfaaf31c9d39</x:v>
      </x:c>
    </x:row>
    <x:row r="8" ht="78" customHeight="1">
      <x:c r="A8" s="84" t="n">
        <x:v>5</x:v>
      </x:c>
      <x:c r="B8" s="84" t="str">
        <x:v>G003-A</x:v>
      </x:c>
      <x:c r="C8" s="84" t="str">
        <x:v>G003</x:v>
      </x:c>
      <x:c r="D8" s="84" t="str">
        <x:v>MV-HAND-001</x:v>
      </x:c>
      <x:c r="E8" s="84" t="str">
        <x:v>MX</x:v>
      </x:c>
      <x:c r="F8" s="84" t="str">
        <x:v>es-MX</x:v>
      </x:c>
      <x:c r="G8" s="84" t="str">
        <x:v>short_video_script</x:v>
      </x:c>
      <x:c r="H8" s="84" t="str">
        <x:v>A</x:v>
      </x:c>
      <x:c r="I8" s="84" t="str">
        <x:v>Baseline</x:v>
      </x:c>
      <x:c r="J8" s="88" t="str">
        <x:v>0–3 s: Muestra Crema humectante de mano. Voz: Repara las manos secas después de lavarlas.
3–10 s: Muestra uso. Voz: Aplica en manos y bordes de uñas repetidamente cuando sea necesario.
10–15 s: Muestra empaque. Texto: 60 mL. Compra ahora.
TEXTO: Crema humectante de mano para el cuidado diario de piel.</x:v>
      </x:c>
      <x:c r="K8" s="85" t="str">
        <x:v>Fail</x:v>
      </x:c>
      <x:c r="L8" s="85" t="n">
        <x:v>0</x:v>
      </x:c>
      <x:c r="M8" s="85" t="n">
        <x:v>3</x:v>
      </x:c>
      <x:c r="N8" s="85" t="n">
        <x:v>2</x:v>
      </x:c>
      <x:c r="O8" s="85" t="n">
        <x:v>2</x:v>
      </x:c>
      <x:c r="P8" s="85" t="n">
        <x:v>1</x:v>
      </x:c>
      <x:c r="Q8" s="85" t="n">
        <x:v>3</x:v>
      </x:c>
      <x:c r="R8" s="85" t="n">
        <x:v>2</x:v>
      </x:c>
      <x:c r="S8" s="85" t="n">
        <x:v>2</x:v>
      </x:c>
      <x:c r="T8" s="86" t="n">
        <x:v>2.142857142857143</x:v>
      </x:c>
      <x:c r="U8" s="85" t="n">
        <x:v>4</x:v>
      </x:c>
      <x:c r="V8" s="85" t="n">
        <x:v>7</x:v>
      </x:c>
      <x:c r="W8" s="87" t="n">
        <x:v>46231</x:v>
      </x:c>
      <x:c r="X8" s="85" t="str">
        <x:v>Reviewer-01</x:v>
      </x:c>
      <x:c r="Y8" s="85" t="str">
        <x:v>Complete</x:v>
      </x:c>
      <x:c r="Z8" s="85" t="str">
        <x:v>Prohibited claim; Language issue</x:v>
      </x:c>
      <x:c r="AA8" s="88" t="str">
        <x:v>“Repara las manos secas”超出允许的柔软、滋润感边界，且多处西语搭配生硬；需要重写功效与文案。</x:v>
      </x:c>
      <x:c r="AB8" s="85" t="str">
        <x:v>Failure</x:v>
      </x:c>
      <x:c r="AC8" s="85" t="str">
        <x:v>0d522eb7431a3bb05552a7c7230303c515fc6d8cd8dd4b46921edf8666946c20</x:v>
      </x:c>
    </x:row>
    <x:row r="9" ht="78" customHeight="1">
      <x:c r="A9" s="84" t="n">
        <x:v>6</x:v>
      </x:c>
      <x:c r="B9" s="84" t="str">
        <x:v>G003-B</x:v>
      </x:c>
      <x:c r="C9" s="84" t="str">
        <x:v>G003</x:v>
      </x:c>
      <x:c r="D9" s="84" t="str">
        <x:v>MV-HAND-001</x:v>
      </x:c>
      <x:c r="E9" s="84" t="str">
        <x:v>MX</x:v>
      </x:c>
      <x:c r="F9" s="84" t="str">
        <x:v>es-MX</x:v>
      </x:c>
      <x:c r="G9" s="84" t="str">
        <x:v>short_video_script</x:v>
      </x:c>
      <x:c r="H9" s="84" t="str">
        <x:v>B</x:v>
      </x:c>
      <x:c r="I9" s="84" t="str">
        <x:v>LocalizeFlow</x:v>
      </x:c>
      <x:c r="J9" s="88" t="str">
        <x:v>00:00–00:03 GANCHO — Visual: Producto en una rutina sencilla. Voz: Un paso sencillo para las manos después del lavado.
00:03–00:08 CARACTERÍSTICA — Visual: Textura y envase. Voz: Sin fragancia añadida y en tubo de aluminio.
00:08–00:13 USO + EXPERIENCIA — Visual: Demostración de uso. Voz: Ayuda a que las manos se sientan suaves e hidratadas después del lavado diario. Masajea las manos y el contorno de las uñas según sea necesario; solo para uso externo.
00:13–00:15 CTA — Texto en pantalla: Consulta los detalles.
TEXTO: Con glicerina, manteca de karité, pantenol y alantoína para ayudar a que las manos se sientan suaves e hidratadas.</x:v>
      </x:c>
      <x:c r="K9" s="85" t="str">
        <x:v>Fail</x:v>
      </x:c>
      <x:c r="L9" s="85" t="n">
        <x:v>0</x:v>
      </x:c>
      <x:c r="M9" s="85" t="n">
        <x:v>4</x:v>
      </x:c>
      <x:c r="N9" s="85" t="n">
        <x:v>4</x:v>
      </x:c>
      <x:c r="O9" s="85" t="n">
        <x:v>4</x:v>
      </x:c>
      <x:c r="P9" s="85" t="n">
        <x:v>4</x:v>
      </x:c>
      <x:c r="Q9" s="85" t="n">
        <x:v>4</x:v>
      </x:c>
      <x:c r="R9" s="85" t="n">
        <x:v>4</x:v>
      </x:c>
      <x:c r="S9" s="85" t="n">
        <x:v>2</x:v>
      </x:c>
      <x:c r="T9" s="86" t="n">
        <x:v>3.7142857142857144</x:v>
      </x:c>
      <x:c r="U9" s="85" t="n">
        <x:v>2</x:v>
      </x:c>
      <x:c r="V9" s="85" t="n">
        <x:v>5</x:v>
      </x:c>
      <x:c r="W9" s="87" t="n">
        <x:v>46231</x:v>
      </x:c>
      <x:c r="X9" s="85" t="str">
        <x:v>Reviewer-01</x:v>
      </x:c>
      <x:c r="Y9" s="85" t="str">
        <x:v>Complete</x:v>
      </x:c>
      <x:c r="Z9" s="85" t="str">
        <x:v>Packaging mismatch</x:v>
      </x:c>
      <x:c r="AA9" s="88" t="str">
        <x:v>整体脚本自然完整，但“tubo de aluminio”与事实参考中的软管包装不一致；修正包装并补充AIGC标识。</x:v>
      </x:c>
      <x:c r="AB9" s="85" t="str">
        <x:v>Failure</x:v>
      </x:c>
      <x:c r="AC9" s="85" t="str">
        <x:v>3a52113ba67cdf849af10a29d163badc6720d5893529708e5ea983a237f268a6</x:v>
      </x:c>
    </x:row>
    <x:row r="10" ht="78" customHeight="1">
      <x:c r="A10" s="84" t="n">
        <x:v>7</x:v>
      </x:c>
      <x:c r="B10" s="84" t="str">
        <x:v>G004-A</x:v>
      </x:c>
      <x:c r="C10" s="84" t="str">
        <x:v>G004</x:v>
      </x:c>
      <x:c r="D10" s="84" t="str">
        <x:v>MV-KIT-001</x:v>
      </x:c>
      <x:c r="E10" s="84" t="str">
        <x:v>MX</x:v>
      </x:c>
      <x:c r="F10" s="84" t="str">
        <x:v>es-MX</x:v>
      </x:c>
      <x:c r="G10" s="84" t="str">
        <x:v>short_video_script</x:v>
      </x:c>
      <x:c r="H10" s="84" t="str">
        <x:v>A</x:v>
      </x:c>
      <x:c r="I10" s="84" t="str">
        <x:v>LocalizeFlow</x:v>
      </x:c>
      <x:c r="J10" s="88" t="str">
        <x:v>00:00–00:03 GANCHO — Visual: Producto en una rutina sencilla. Voz: Tres pasos sencillos en un set para viaje.
00:03–00:08 CARACTERÍSTICA — Visual: Textura y envase. Voz: Tres productos mini sin fragancia añadida en una caja de cartón.
00:08–00:13 USO + EXPERIENCIA — Visual: Demostración de uso. Voz: Combina pasos básicos de limpieza, hidratación y humectación para llevar menos. Usa el limpiador, el sérum y la crema hidratante en ese orden, siguiendo las indicaciones de cada producto.
00:13–00:15 CTA — Texto en pantalla: Consulta los detalles.
TEXTO: Limpiador, sérum y crema hidratante sin fragancia añadida, reunidos en una caja compacta.</x:v>
      </x:c>
      <x:c r="K10" s="85" t="str">
        <x:v>Pass</x:v>
      </x:c>
      <x:c r="L10" s="85" t="n">
        <x:v>1</x:v>
      </x:c>
      <x:c r="M10" s="85" t="n">
        <x:v>4</x:v>
      </x:c>
      <x:c r="N10" s="85" t="n">
        <x:v>5</x:v>
      </x:c>
      <x:c r="O10" s="85" t="n">
        <x:v>4</x:v>
      </x:c>
      <x:c r="P10" s="85" t="n">
        <x:v>5</x:v>
      </x:c>
      <x:c r="Q10" s="85" t="n">
        <x:v>4</x:v>
      </x:c>
      <x:c r="R10" s="85" t="n">
        <x:v>4</x:v>
      </x:c>
      <x:c r="S10" s="85" t="n">
        <x:v>4</x:v>
      </x:c>
      <x:c r="T10" s="86" t="n">
        <x:v>4.285714285714286</x:v>
      </x:c>
      <x:c r="U10" s="85" t="n">
        <x:v>1</x:v>
      </x:c>
      <x:c r="V10" s="85" t="n">
        <x:v>4</x:v>
      </x:c>
      <x:c r="W10" s="87" t="n">
        <x:v>46231</x:v>
      </x:c>
      <x:c r="X10" s="85" t="str">
        <x:v>Reviewer-01</x:v>
      </x:c>
      <x:c r="Y10" s="85" t="str">
        <x:v>Complete</x:v>
      </x:c>
      <x:c r="Z10" s="85" t="str">
        <x:v>None</x:v>
      </x:c>
      <x:c r="AA10" s="88" t="str">
        <x:v>旅行三步骤、产品组合和使用顺序表达清楚，西语流畅；仅需补充AIGC标识。</x:v>
      </x:c>
      <x:c r="AB10" s="85" t="str">
        <x:v>Reviewed</x:v>
      </x:c>
      <x:c r="AC10" s="85" t="str">
        <x:v>b9fb5c6028c348905a24eff71125ea6b4ef943655a1358de496e665de5afa1b0</x:v>
      </x:c>
    </x:row>
    <x:row r="11" ht="78" customHeight="1">
      <x:c r="A11" s="84" t="n">
        <x:v>8</x:v>
      </x:c>
      <x:c r="B11" s="84" t="str">
        <x:v>G004-B</x:v>
      </x:c>
      <x:c r="C11" s="84" t="str">
        <x:v>G004</x:v>
      </x:c>
      <x:c r="D11" s="84" t="str">
        <x:v>MV-KIT-001</x:v>
      </x:c>
      <x:c r="E11" s="84" t="str">
        <x:v>MX</x:v>
      </x:c>
      <x:c r="F11" s="84" t="str">
        <x:v>es-MX</x:v>
      </x:c>
      <x:c r="G11" s="84" t="str">
        <x:v>short_video_script</x:v>
      </x:c>
      <x:c r="H11" s="84" t="str">
        <x:v>B</x:v>
      </x:c>
      <x:c r="I11" s="84" t="str">
        <x:v>Baseline</x:v>
      </x:c>
      <x:c r="J11" s="88" t="str">
        <x:v>0–3 s: Muestra Kit de cuidado de piel para viaje. Voz: Cubre todas tus necesidades de piel cuando viajas.
3–10 s: Muestra uso. Voz: Usa primero limpiador, segundo serum y tercero crema.
10–15 s: Muestra empaque. Texto: 3 pieces / 55 mL total. Compra ahora.
TEXTO: Kit de cuidado de piel para viaje para el cuidado diario de piel.</x:v>
      </x:c>
      <x:c r="K11" s="85" t="str">
        <x:v>Fail</x:v>
      </x:c>
      <x:c r="L11" s="85" t="n">
        <x:v>0</x:v>
      </x:c>
      <x:c r="M11" s="85" t="n">
        <x:v>3</x:v>
      </x:c>
      <x:c r="N11" s="85" t="n">
        <x:v>2</x:v>
      </x:c>
      <x:c r="O11" s="85" t="n">
        <x:v>2</x:v>
      </x:c>
      <x:c r="P11" s="85" t="n">
        <x:v>1</x:v>
      </x:c>
      <x:c r="Q11" s="85" t="n">
        <x:v>3</x:v>
      </x:c>
      <x:c r="R11" s="85" t="n">
        <x:v>2</x:v>
      </x:c>
      <x:c r="S11" s="85" t="n">
        <x:v>2</x:v>
      </x:c>
      <x:c r="T11" s="86" t="n">
        <x:v>2.142857142857143</x:v>
      </x:c>
      <x:c r="U11" s="85" t="n">
        <x:v>4</x:v>
      </x:c>
      <x:c r="V11" s="85" t="n">
        <x:v>7</x:v>
      </x:c>
      <x:c r="W11" s="87" t="n">
        <x:v>46231</x:v>
      </x:c>
      <x:c r="X11" s="85" t="str">
        <x:v>Reviewer-01</x:v>
      </x:c>
      <x:c r="Y11" s="85" t="str">
        <x:v>Complete</x:v>
      </x:c>
      <x:c r="Z11" s="85" t="str">
        <x:v>Prohibited claim; Localization issue</x:v>
      </x:c>
      <x:c r="AA11" s="88" t="str">
        <x:v>“Cubre todas tus necesidades”构成禁止的全能表述，且中英混排与措辞削弱墨西哥市场适配；需较大改写。</x:v>
      </x:c>
      <x:c r="AB11" s="85" t="str">
        <x:v>Failure</x:v>
      </x:c>
      <x:c r="AC11" s="85" t="str">
        <x:v>e43f5b3cd46b3c6625742dacb361a4d3a40bd3344090834c11bda950cdbf57ad</x:v>
      </x:c>
    </x:row>
    <x:row r="12" ht="78" customHeight="1">
      <x:c r="A12" s="84" t="n">
        <x:v>9</x:v>
      </x:c>
      <x:c r="B12" s="84" t="str">
        <x:v>G005-A</x:v>
      </x:c>
      <x:c r="C12" s="84" t="str">
        <x:v>G005</x:v>
      </x:c>
      <x:c r="D12" s="84" t="str">
        <x:v>MV-CLEAN-001</x:v>
      </x:c>
      <x:c r="E12" s="84" t="str">
        <x:v>MX</x:v>
      </x:c>
      <x:c r="F12" s="84" t="str">
        <x:v>es-MX</x:v>
      </x:c>
      <x:c r="G12" s="84" t="str">
        <x:v>social_ad_copy</x:v>
      </x:c>
      <x:c r="H12" s="84" t="str">
        <x:v>A</x:v>
      </x:c>
      <x:c r="I12" s="84" t="str">
        <x:v>Baseline</x:v>
      </x:c>
      <x:c r="J12" s="88" t="str">
        <x:v>GANCHO: Elimina la suciedad y el exceso de grasa de la piel.
TEXTO: Sin fragancia añadida ni tensioactivos con sulfatos. Contiene glicerina, glicinato de cocoilo de sodio y pantenol. Usa 1–2 bombas en la cara mojada, masajea 30 segundos y lava con agua.
CTA: Compra ahora.</x:v>
      </x:c>
      <x:c r="K12" s="85" t="str">
        <x:v>Pass</x:v>
      </x:c>
      <x:c r="L12" s="85" t="n">
        <x:v>1</x:v>
      </x:c>
      <x:c r="M12" s="85" t="n">
        <x:v>4</x:v>
      </x:c>
      <x:c r="N12" s="85" t="n">
        <x:v>4</x:v>
      </x:c>
      <x:c r="O12" s="85" t="n">
        <x:v>4</x:v>
      </x:c>
      <x:c r="P12" s="85" t="n">
        <x:v>4</x:v>
      </x:c>
      <x:c r="Q12" s="85" t="n">
        <x:v>3</x:v>
      </x:c>
      <x:c r="R12" s="85" t="n">
        <x:v>4</x:v>
      </x:c>
      <x:c r="S12" s="85" t="n">
        <x:v>4</x:v>
      </x:c>
      <x:c r="T12" s="86" t="n">
        <x:v>3.857142857142857</x:v>
      </x:c>
      <x:c r="U12" s="85" t="n">
        <x:v>2</x:v>
      </x:c>
      <x:c r="V12" s="85" t="n">
        <x:v>5</x:v>
      </x:c>
      <x:c r="W12" s="87" t="n">
        <x:v>46231</x:v>
      </x:c>
      <x:c r="X12" s="85" t="str">
        <x:v>Reviewer-01</x:v>
      </x:c>
      <x:c r="Y12" s="85" t="str">
        <x:v>Complete</x:v>
      </x:c>
      <x:c r="Z12" s="85" t="str">
        <x:v>None</x:v>
      </x:c>
      <x:c r="AA12" s="88" t="str">
        <x:v>主要成分、用量与清洁利益点准确；建议将措辞改得更审慎，并补充具体平台和AI使用状态。</x:v>
      </x:c>
      <x:c r="AB12" s="85" t="str">
        <x:v>Reviewed</x:v>
      </x:c>
      <x:c r="AC12" s="85" t="str">
        <x:v>8aa44071013197637aa21b0f0455a6b8312a86bc01471764b5eb0219f71c0bab</x:v>
      </x:c>
    </x:row>
    <x:row r="13" ht="78" customHeight="1">
      <x:c r="A13" s="84" t="n">
        <x:v>10</x:v>
      </x:c>
      <x:c r="B13" s="84" t="str">
        <x:v>G005-B</x:v>
      </x:c>
      <x:c r="C13" s="84" t="str">
        <x:v>G005</x:v>
      </x:c>
      <x:c r="D13" s="84" t="str">
        <x:v>MV-CLEAN-001</x:v>
      </x:c>
      <x:c r="E13" s="84" t="str">
        <x:v>MX</x:v>
      </x:c>
      <x:c r="F13" s="84" t="str">
        <x:v>es-MX</x:v>
      </x:c>
      <x:c r="G13" s="84" t="str">
        <x:v>social_ad_copy</x:v>
      </x:c>
      <x:c r="H13" s="84" t="str">
        <x:v>B</x:v>
      </x:c>
      <x:c r="I13" s="84" t="str">
        <x:v>LocalizeFlow</x:v>
      </x:c>
      <x:c r="J13" s="88" t="str">
        <x:v>GANCHO: Un inicio claro y sin fragancia añadida para tu rutina.
TEXTO: Sin fragancia añadida ni tensioactivos con sulfatos; ayuda a retirar la suciedad superficial y el exceso de grasa. Masajea de 1 a 2 dosis sobre el rostro húmedo durante unos 30 segundos, enjuaga y evita el contorno de ojos.
CTA: Consulta los detalles.</x:v>
      </x:c>
      <x:c r="K13" s="85" t="str">
        <x:v>Pass</x:v>
      </x:c>
      <x:c r="L13" s="85" t="n">
        <x:v>1</x:v>
      </x:c>
      <x:c r="M13" s="85" t="n">
        <x:v>4</x:v>
      </x:c>
      <x:c r="N13" s="85" t="n">
        <x:v>5</x:v>
      </x:c>
      <x:c r="O13" s="85" t="n">
        <x:v>4</x:v>
      </x:c>
      <x:c r="P13" s="85" t="n">
        <x:v>5</x:v>
      </x:c>
      <x:c r="Q13" s="85" t="n">
        <x:v>4</x:v>
      </x:c>
      <x:c r="R13" s="85" t="n">
        <x:v>4</x:v>
      </x:c>
      <x:c r="S13" s="85" t="n">
        <x:v>4</x:v>
      </x:c>
      <x:c r="T13" s="86" t="n">
        <x:v>4.285714285714286</x:v>
      </x:c>
      <x:c r="U13" s="85" t="n">
        <x:v>1</x:v>
      </x:c>
      <x:c r="V13" s="85" t="n">
        <x:v>4</x:v>
      </x:c>
      <x:c r="W13" s="87" t="n">
        <x:v>46231</x:v>
      </x:c>
      <x:c r="X13" s="85" t="str">
        <x:v>Reviewer-01</x:v>
      </x:c>
      <x:c r="Y13" s="85" t="str">
        <x:v>Complete</x:v>
      </x:c>
      <x:c r="Z13" s="85" t="str">
        <x:v>None</x:v>
      </x:c>
      <x:c r="AA13" s="88" t="str">
        <x:v>利益点限定清楚，用法与避开眼周信息完整，CTA克制；发布前补充平台元数据。</x:v>
      </x:c>
      <x:c r="AB13" s="85" t="str">
        <x:v>Reviewed</x:v>
      </x:c>
      <x:c r="AC13" s="85" t="str">
        <x:v>21132318f686ac80aed8561211b464f3c2a9f7c95db58216fb583552fa55a234</x:v>
      </x:c>
    </x:row>
    <x:row r="14" ht="78" customHeight="1">
      <x:c r="A14" s="84" t="n">
        <x:v>11</x:v>
      </x:c>
      <x:c r="B14" s="84" t="str">
        <x:v>G006-A</x:v>
      </x:c>
      <x:c r="C14" s="84" t="str">
        <x:v>G006</x:v>
      </x:c>
      <x:c r="D14" s="84" t="str">
        <x:v>MV-HAND-001</x:v>
      </x:c>
      <x:c r="E14" s="84" t="str">
        <x:v>US</x:v>
      </x:c>
      <x:c r="F14" s="84" t="str">
        <x:v>en-US</x:v>
      </x:c>
      <x:c r="G14" s="84" t="str">
        <x:v>short_video_script</x:v>
      </x:c>
      <x:c r="H14" s="84" t="str">
        <x:v>A</x:v>
      </x:c>
      <x:c r="I14" s="84" t="str">
        <x:v>LocalizeFlow</x:v>
      </x:c>
      <x:c r="J14" s="88" t="str">
        <x:v>00:00–00:03 HOOK — Visual: Product in a simple routine. Voice: A simple hand-care step after washing.
00:03–00:08 VERIFIED FEATURE — Visual: Texture and package. Voice: Made without added fragrance in an aluminum tube.
00:08–00:13 USE + EXPERIENCE — Visual: Demonstrate use. Voice: Helps hands feel soft and moisturized after everyday washing. Massage into hands and around the nails as needed; for external use only.
00:13–00:15 CTA — On-screen: See product details.
CAPTION: Made with glycerin, shea butter, panthenol and allantoin to help hands feel soft and moisturized.</x:v>
      </x:c>
      <x:c r="K14" s="85" t="str">
        <x:v>Fail</x:v>
      </x:c>
      <x:c r="L14" s="85" t="n">
        <x:v>0</x:v>
      </x:c>
      <x:c r="M14" s="85" t="n">
        <x:v>4</x:v>
      </x:c>
      <x:c r="N14" s="85" t="n">
        <x:v>5</x:v>
      </x:c>
      <x:c r="O14" s="85" t="n">
        <x:v>4</x:v>
      </x:c>
      <x:c r="P14" s="85" t="n">
        <x:v>4</x:v>
      </x:c>
      <x:c r="Q14" s="85" t="n">
        <x:v>4</x:v>
      </x:c>
      <x:c r="R14" s="85" t="n">
        <x:v>4</x:v>
      </x:c>
      <x:c r="S14" s="85" t="n">
        <x:v>2</x:v>
      </x:c>
      <x:c r="T14" s="86" t="n">
        <x:v>3.857142857142857</x:v>
      </x:c>
      <x:c r="U14" s="85" t="n">
        <x:v>2</x:v>
      </x:c>
      <x:c r="V14" s="85" t="n">
        <x:v>5</x:v>
      </x:c>
      <x:c r="W14" s="87" t="n">
        <x:v>46231</x:v>
      </x:c>
      <x:c r="X14" s="85" t="str">
        <x:v>Reviewer-01</x:v>
      </x:c>
      <x:c r="Y14" s="85" t="str">
        <x:v>Complete</x:v>
      </x:c>
      <x:c r="Z14" s="85" t="str">
        <x:v>Packaging mismatch</x:v>
      </x:c>
      <x:c r="AA14" s="88" t="str">
        <x:v>脚本节奏与语言表现良好，但“aluminum tube”与事实参考中的软管包装不一致；需修正包装陈述。</x:v>
      </x:c>
      <x:c r="AB14" s="85" t="str">
        <x:v>Failure</x:v>
      </x:c>
      <x:c r="AC14" s="85" t="str">
        <x:v>478aa57c7b888769dd2ab6f005190f294aca71e7cd0883c72aa8cdbb6876a2ce</x:v>
      </x:c>
    </x:row>
    <x:row r="15" ht="78" customHeight="1">
      <x:c r="A15" s="84" t="n">
        <x:v>12</x:v>
      </x:c>
      <x:c r="B15" s="84" t="str">
        <x:v>G006-B</x:v>
      </x:c>
      <x:c r="C15" s="84" t="str">
        <x:v>G006</x:v>
      </x:c>
      <x:c r="D15" s="84" t="str">
        <x:v>MV-HAND-001</x:v>
      </x:c>
      <x:c r="E15" s="84" t="str">
        <x:v>US</x:v>
      </x:c>
      <x:c r="F15" s="84" t="str">
        <x:v>en-US</x:v>
      </x:c>
      <x:c r="G15" s="84" t="str">
        <x:v>short_video_script</x:v>
      </x:c>
      <x:c r="H15" s="84" t="str">
        <x:v>B</x:v>
      </x:c>
      <x:c r="I15" s="84" t="str">
        <x:v>Baseline</x:v>
      </x:c>
      <x:c r="J15" s="88" t="str">
        <x:v>0–3s: Show Hand Moisturizing Cream. Voice: Repairs dry hands after washing.
3–10s: Show use. Voice: Apply to hands and nail edges repeatedly when needed.
10–15s: Show package. Text: 60 mL. Buy now.
CAPTION: Hand Moisturizing Cream for daily skin care.</x:v>
      </x:c>
      <x:c r="K15" s="85" t="str">
        <x:v>Fail</x:v>
      </x:c>
      <x:c r="L15" s="85" t="n">
        <x:v>0</x:v>
      </x:c>
      <x:c r="M15" s="85" t="n">
        <x:v>3</x:v>
      </x:c>
      <x:c r="N15" s="85" t="n">
        <x:v>3</x:v>
      </x:c>
      <x:c r="O15" s="85" t="n">
        <x:v>3</x:v>
      </x:c>
      <x:c r="P15" s="85" t="n">
        <x:v>1</x:v>
      </x:c>
      <x:c r="Q15" s="85" t="n">
        <x:v>3</x:v>
      </x:c>
      <x:c r="R15" s="85" t="n">
        <x:v>2</x:v>
      </x:c>
      <x:c r="S15" s="85" t="n">
        <x:v>2</x:v>
      </x:c>
      <x:c r="T15" s="86" t="n">
        <x:v>2.4285714285714284</x:v>
      </x:c>
      <x:c r="U15" s="85" t="n">
        <x:v>4</x:v>
      </x:c>
      <x:c r="V15" s="85" t="n">
        <x:v>6</x:v>
      </x:c>
      <x:c r="W15" s="87" t="n">
        <x:v>46231</x:v>
      </x:c>
      <x:c r="X15" s="85" t="str">
        <x:v>Reviewer-01</x:v>
      </x:c>
      <x:c r="Y15" s="85" t="str">
        <x:v>Complete</x:v>
      </x:c>
      <x:c r="Z15" s="85" t="str">
        <x:v>Prohibited claim; Brand risk</x:v>
      </x:c>
      <x:c r="AA15" s="88" t="str">
        <x:v>“Repairs dry hands”超出允许的感受型功效边界，语言也较模板化；需重写Hook、功效和AIGC信息。</x:v>
      </x:c>
      <x:c r="AB15" s="85" t="str">
        <x:v>Failure</x:v>
      </x:c>
      <x:c r="AC15" s="85" t="str">
        <x:v>aab3f5f577b1d103090ea5a63dadba7be8d8bf4997305a23c583ad3d2b2c79a0</x:v>
      </x:c>
    </x:row>
    <x:row r="16" ht="78" customHeight="1">
      <x:c r="A16" s="84" t="n">
        <x:v>13</x:v>
      </x:c>
      <x:c r="B16" s="84" t="str">
        <x:v>G007-A</x:v>
      </x:c>
      <x:c r="C16" s="84" t="str">
        <x:v>G007</x:v>
      </x:c>
      <x:c r="D16" s="84" t="str">
        <x:v>MV-HAND-001</x:v>
      </x:c>
      <x:c r="E16" s="84" t="str">
        <x:v>US</x:v>
      </x:c>
      <x:c r="F16" s="84" t="str">
        <x:v>en-US</x:v>
      </x:c>
      <x:c r="G16" s="84" t="str">
        <x:v>product_listing</x:v>
      </x:c>
      <x:c r="H16" s="84" t="str">
        <x:v>A</x:v>
      </x:c>
      <x:c r="I16" s="84" t="str">
        <x:v>LocalizeFlow</x:v>
      </x:c>
      <x:c r="J16" s="88" t="str">
        <x:v>TITLE: Mirevane Botanics Fragrance-Free Hand Cream, 60 mL
BULLET 1: Made without added fragrance in an aluminum tube.
BULLET 2: Made with glycerin, shea butter, panthenol and allantoin.
BULLET 3: Helps hands feel soft and moisturized after everyday washing.
BULLET 4: Massage into hands and around the nails as needed; for external use only.
BULLET 5: Presented in a 60 mL aluminum tube with a PP cap.
DESCRIPTION: A simple hand-care step after washing. Made with glycerin, shea butter, panthenol and allantoin to help hands feel soft and moisturized. Massage into hands and around the nails as needed; for external use only.</x:v>
      </x:c>
      <x:c r="K16" s="85" t="str">
        <x:v>Fail</x:v>
      </x:c>
      <x:c r="L16" s="85" t="n">
        <x:v>0</x:v>
      </x:c>
      <x:c r="M16" s="85" t="n">
        <x:v>5</x:v>
      </x:c>
      <x:c r="N16" s="85" t="n">
        <x:v>5</x:v>
      </x:c>
      <x:c r="O16" s="85" t="n">
        <x:v>4</x:v>
      </x:c>
      <x:c r="P16" s="85" t="n">
        <x:v>4</x:v>
      </x:c>
      <x:c r="Q16" s="85" t="n">
        <x:v>4</x:v>
      </x:c>
      <x:c r="R16" s="85" t="n">
        <x:v>4</x:v>
      </x:c>
      <x:c r="S16" s="85" t="n">
        <x:v>2</x:v>
      </x:c>
      <x:c r="T16" s="86" t="n">
        <x:v>4</x:v>
      </x:c>
      <x:c r="U16" s="85" t="n">
        <x:v>2</x:v>
      </x:c>
      <x:c r="V16" s="85" t="n">
        <x:v>6</x:v>
      </x:c>
      <x:c r="W16" s="87" t="n">
        <x:v>46231</x:v>
      </x:c>
      <x:c r="X16" s="85" t="str">
        <x:v>Reviewer-01</x:v>
      </x:c>
      <x:c r="Y16" s="85" t="str">
        <x:v>Complete</x:v>
      </x:c>
      <x:c r="Z16" s="85" t="str">
        <x:v>Unsupported packaging</x:v>
      </x:c>
      <x:c r="AA16" s="88" t="str">
        <x:v>Listing结构与卖点完整，但铝管及PP盖材质未获事实参考支持且与软管描述不一致；需核验或删除。</x:v>
      </x:c>
      <x:c r="AB16" s="85" t="str">
        <x:v>Failure</x:v>
      </x:c>
      <x:c r="AC16" s="85" t="str">
        <x:v>c4a800fbba33711de235e01268876d8e92f8c3c667ced1658be1840decde9917</x:v>
      </x:c>
    </x:row>
    <x:row r="17" ht="78" customHeight="1">
      <x:c r="A17" s="84" t="n">
        <x:v>14</x:v>
      </x:c>
      <x:c r="B17" s="84" t="str">
        <x:v>G007-B</x:v>
      </x:c>
      <x:c r="C17" s="84" t="str">
        <x:v>G007</x:v>
      </x:c>
      <x:c r="D17" s="84" t="str">
        <x:v>MV-HAND-001</x:v>
      </x:c>
      <x:c r="E17" s="84" t="str">
        <x:v>US</x:v>
      </x:c>
      <x:c r="F17" s="84" t="str">
        <x:v>en-US</x:v>
      </x:c>
      <x:c r="G17" s="84" t="str">
        <x:v>product_listing</x:v>
      </x:c>
      <x:c r="H17" s="84" t="str">
        <x:v>B</x:v>
      </x:c>
      <x:c r="I17" s="84" t="str">
        <x:v>Baseline</x:v>
      </x:c>
      <x:c r="J17" s="88" t="str">
        <x:v>TITLE: Mirevane Botanics Hand Moisturizing Cream, 60 mL
BULLET 1: made without added fragrance in an aluminum tube.
BULLET 2: Contains glycerin, shea butter, panthenol and allantoin.
BULLET 3: Repairs dry hands after washing.
DESCRIPTION: Apply to hands and nail edges repeatedly when needed. Package: 60 mL aluminum tube with a PP cap.</x:v>
      </x:c>
      <x:c r="K17" s="85" t="str">
        <x:v>Fail</x:v>
      </x:c>
      <x:c r="L17" s="85" t="n">
        <x:v>0</x:v>
      </x:c>
      <x:c r="M17" s="85" t="n">
        <x:v>3</x:v>
      </x:c>
      <x:c r="N17" s="85" t="n">
        <x:v>3</x:v>
      </x:c>
      <x:c r="O17" s="85" t="n">
        <x:v>3</x:v>
      </x:c>
      <x:c r="P17" s="85" t="n">
        <x:v>1</x:v>
      </x:c>
      <x:c r="Q17" s="85" t="n">
        <x:v>2</x:v>
      </x:c>
      <x:c r="R17" s="85" t="n">
        <x:v>2</x:v>
      </x:c>
      <x:c r="S17" s="85" t="n">
        <x:v>1</x:v>
      </x:c>
      <x:c r="T17" s="86" t="n">
        <x:v>2.142857142857143</x:v>
      </x:c>
      <x:c r="U17" s="85" t="n">
        <x:v>5</x:v>
      </x:c>
      <x:c r="V17" s="85" t="n">
        <x:v>8</x:v>
      </x:c>
      <x:c r="W17" s="87" t="n">
        <x:v>46231</x:v>
      </x:c>
      <x:c r="X17" s="85" t="str">
        <x:v>Reviewer-01</x:v>
      </x:c>
      <x:c r="Y17" s="85" t="str">
        <x:v>Complete</x:v>
      </x:c>
      <x:c r="Z17" s="85" t="str">
        <x:v>Prohibited claim; Unsupported packaging; Platform structure</x:v>
      </x:c>
      <x:c r="AA17" s="88" t="str">
        <x:v>仅有3个要点，不符合Listing最低结构；同时包含“Repairs”越界功效及不一致的铝管材质，需要重写。</x:v>
      </x:c>
      <x:c r="AB17" s="85" t="str">
        <x:v>Failure</x:v>
      </x:c>
      <x:c r="AC17" s="85" t="str">
        <x:v>1c1a31078c36192459e96db195b78780980c80ba8ffcb5eb8f711ee89306c96a</x:v>
      </x:c>
    </x:row>
    <x:row r="18" ht="78" customHeight="1">
      <x:c r="A18" s="84" t="n">
        <x:v>15</x:v>
      </x:c>
      <x:c r="B18" s="84" t="str">
        <x:v>G008-A</x:v>
      </x:c>
      <x:c r="C18" s="84" t="str">
        <x:v>G008</x:v>
      </x:c>
      <x:c r="D18" s="84" t="str">
        <x:v>MV-CLEAN-001</x:v>
      </x:c>
      <x:c r="E18" s="84" t="str">
        <x:v>MX</x:v>
      </x:c>
      <x:c r="F18" s="84" t="str">
        <x:v>es-MX</x:v>
      </x:c>
      <x:c r="G18" s="84" t="str">
        <x:v>short_video_script</x:v>
      </x:c>
      <x:c r="H18" s="84" t="str">
        <x:v>A</x:v>
      </x:c>
      <x:c r="I18" s="84" t="str">
        <x:v>Baseline</x:v>
      </x:c>
      <x:c r="J18" s="88" t="str">
        <x:v>0–3 s: Muestra Limpiador facial de aminoácidos. Voz: Elimina la suciedad y el exceso de grasa de la piel.
3–10 s: Muestra uso. Voz: Usa 1–2 bombas en la cara mojada, masajea 30 segundos y lava con agua.
10–15 s: Muestra empaque. Texto: 120 mL. Compra ahora.
TEXTO: Limpiador facial de aminoácidos para el cuidado diario de piel.</x:v>
      </x:c>
      <x:c r="K18" s="85" t="str">
        <x:v>Pass</x:v>
      </x:c>
      <x:c r="L18" s="85" t="n">
        <x:v>1</x:v>
      </x:c>
      <x:c r="M18" s="85" t="n">
        <x:v>3</x:v>
      </x:c>
      <x:c r="N18" s="85" t="n">
        <x:v>3</x:v>
      </x:c>
      <x:c r="O18" s="85" t="n">
        <x:v>3</x:v>
      </x:c>
      <x:c r="P18" s="85" t="n">
        <x:v>4</x:v>
      </x:c>
      <x:c r="Q18" s="85" t="n">
        <x:v>3</x:v>
      </x:c>
      <x:c r="R18" s="85" t="n">
        <x:v>3</x:v>
      </x:c>
      <x:c r="S18" s="85" t="n">
        <x:v>3</x:v>
      </x:c>
      <x:c r="T18" s="86" t="n">
        <x:v>3.142857142857143</x:v>
      </x:c>
      <x:c r="U18" s="85" t="n">
        <x:v>3</x:v>
      </x:c>
      <x:c r="V18" s="85" t="n">
        <x:v>5</x:v>
      </x:c>
      <x:c r="W18" s="87" t="n">
        <x:v>46231</x:v>
      </x:c>
      <x:c r="X18" s="85" t="str">
        <x:v>Reviewer-01</x:v>
      </x:c>
      <x:c r="Y18" s="85" t="str">
        <x:v>Complete</x:v>
      </x:c>
      <x:c r="Z18" s="85" t="str">
        <x:v>None</x:v>
      </x:c>
      <x:c r="AA18" s="88" t="str">
        <x:v>容量、用量和基础利益点准确，但西语表达较直译且遗漏避开眼周与差异化特征；建议润色。</x:v>
      </x:c>
      <x:c r="AB18" s="85" t="str">
        <x:v>Reviewed</x:v>
      </x:c>
      <x:c r="AC18" s="85" t="str">
        <x:v>1b288a1bf9c4b42aec092ef934ab3a6260867f4df7d84c6c5f866c0127293889</x:v>
      </x:c>
    </x:row>
    <x:row r="19" ht="78" customHeight="1">
      <x:c r="A19" s="84" t="n">
        <x:v>16</x:v>
      </x:c>
      <x:c r="B19" s="84" t="str">
        <x:v>G008-B</x:v>
      </x:c>
      <x:c r="C19" s="84" t="str">
        <x:v>G008</x:v>
      </x:c>
      <x:c r="D19" s="84" t="str">
        <x:v>MV-CLEAN-001</x:v>
      </x:c>
      <x:c r="E19" s="84" t="str">
        <x:v>MX</x:v>
      </x:c>
      <x:c r="F19" s="84" t="str">
        <x:v>es-MX</x:v>
      </x:c>
      <x:c r="G19" s="84" t="str">
        <x:v>short_video_script</x:v>
      </x:c>
      <x:c r="H19" s="84" t="str">
        <x:v>B</x:v>
      </x:c>
      <x:c r="I19" s="84" t="str">
        <x:v>LocalizeFlow</x:v>
      </x:c>
      <x:c r="J19" s="88" t="str">
        <x:v>00:00–00:03 GANCHO — Visual: Producto en una rutina sencilla. Voz: Un inicio claro y sin fragancia añadida para tu rutina.
00:03–00:08 CARACTERÍSTICA — Visual: Textura y envase. Voz: Sin fragancia añadida ni tensioactivos con sulfatos.
00:08–00:13 USO + EXPERIENCIA — Visual: Demostración de uso. Voz: Ayuda a retirar la suciedad superficial y el exceso de grasa, dejando una sensación cómoda. Masajea de 1 a 2 dosis sobre el rostro húmedo durante unos 30 segundos, enjuaga y evita el contorno de ojos.
00:13–00:15 CTA — Texto en pantalla: Consulta los detalles.
TEXTO: Sin fragancia añadida ni tensioactivos con sulfatos; ayuda a retirar la suciedad superficial y el exceso de grasa.</x:v>
      </x:c>
      <x:c r="K19" s="85" t="str">
        <x:v>Pass</x:v>
      </x:c>
      <x:c r="L19" s="85" t="n">
        <x:v>1</x:v>
      </x:c>
      <x:c r="M19" s="85" t="n">
        <x:v>4</x:v>
      </x:c>
      <x:c r="N19" s="85" t="n">
        <x:v>5</x:v>
      </x:c>
      <x:c r="O19" s="85" t="n">
        <x:v>4</x:v>
      </x:c>
      <x:c r="P19" s="85" t="n">
        <x:v>5</x:v>
      </x:c>
      <x:c r="Q19" s="85" t="n">
        <x:v>4</x:v>
      </x:c>
      <x:c r="R19" s="85" t="n">
        <x:v>4</x:v>
      </x:c>
      <x:c r="S19" s="85" t="n">
        <x:v>4</x:v>
      </x:c>
      <x:c r="T19" s="86" t="n">
        <x:v>4.285714285714286</x:v>
      </x:c>
      <x:c r="U19" s="85" t="n">
        <x:v>1</x:v>
      </x:c>
      <x:c r="V19" s="85" t="n">
        <x:v>4</x:v>
      </x:c>
      <x:c r="W19" s="87" t="n">
        <x:v>46231</x:v>
      </x:c>
      <x:c r="X19" s="85" t="str">
        <x:v>Reviewer-01</x:v>
      </x:c>
      <x:c r="Y19" s="85" t="str">
        <x:v>Complete</x:v>
      </x:c>
      <x:c r="Z19" s="85" t="str">
        <x:v>None</x:v>
      </x:c>
      <x:c r="AA19" s="88" t="str">
        <x:v>脚本覆盖配方特征、感受型利益点和完整用法，表达自然；补充AIGC标识即可。</x:v>
      </x:c>
      <x:c r="AB19" s="85" t="str">
        <x:v>Reviewed</x:v>
      </x:c>
      <x:c r="AC19" s="85" t="str">
        <x:v>46ec710c3fa150a9ca8a677874112950ee0558677cb2a80182bdc09c71ba4a28</x:v>
      </x:c>
    </x:row>
    <x:row r="20" ht="78" customHeight="1">
      <x:c r="A20" s="84" t="n">
        <x:v>17</x:v>
      </x:c>
      <x:c r="B20" s="84" t="str">
        <x:v>G009-A</x:v>
      </x:c>
      <x:c r="C20" s="84" t="str">
        <x:v>G009</x:v>
      </x:c>
      <x:c r="D20" s="84" t="str">
        <x:v>MV-KIT-001</x:v>
      </x:c>
      <x:c r="E20" s="84" t="str">
        <x:v>US</x:v>
      </x:c>
      <x:c r="F20" s="84" t="str">
        <x:v>en-US</x:v>
      </x:c>
      <x:c r="G20" s="84" t="str">
        <x:v>short_video_script</x:v>
      </x:c>
      <x:c r="H20" s="84" t="str">
        <x:v>A</x:v>
      </x:c>
      <x:c r="I20" s="84" t="str">
        <x:v>Baseline</x:v>
      </x:c>
      <x:c r="J20" s="88" t="str">
        <x:v>0–3s: Show Travel Skin Care Kit. Voice: Covers all of your skincare needs while traveling.
3–10s: Show use. Voice: Use cleanser first, serum second and cream third.
10–15s: Show package. Text: 3 pieces / 55 mL total. Buy now.
CAPTION: Travel Skin Care Kit for daily skin care.</x:v>
      </x:c>
      <x:c r="K20" s="85" t="str">
        <x:v>Fail</x:v>
      </x:c>
      <x:c r="L20" s="85" t="n">
        <x:v>0</x:v>
      </x:c>
      <x:c r="M20" s="85" t="n">
        <x:v>3</x:v>
      </x:c>
      <x:c r="N20" s="85" t="n">
        <x:v>3</x:v>
      </x:c>
      <x:c r="O20" s="85" t="n">
        <x:v>3</x:v>
      </x:c>
      <x:c r="P20" s="85" t="n">
        <x:v>1</x:v>
      </x:c>
      <x:c r="Q20" s="85" t="n">
        <x:v>3</x:v>
      </x:c>
      <x:c r="R20" s="85" t="n">
        <x:v>2</x:v>
      </x:c>
      <x:c r="S20" s="85" t="n">
        <x:v>2</x:v>
      </x:c>
      <x:c r="T20" s="86" t="n">
        <x:v>2.4285714285714284</x:v>
      </x:c>
      <x:c r="U20" s="85" t="n">
        <x:v>4</x:v>
      </x:c>
      <x:c r="V20" s="85" t="n">
        <x:v>7</x:v>
      </x:c>
      <x:c r="W20" s="87" t="n">
        <x:v>46231</x:v>
      </x:c>
      <x:c r="X20" s="85" t="str">
        <x:v>Reviewer-01</x:v>
      </x:c>
      <x:c r="Y20" s="85" t="str">
        <x:v>Complete</x:v>
      </x:c>
      <x:c r="Z20" s="85" t="str">
        <x:v>Prohibited claim; Brand risk</x:v>
      </x:c>
      <x:c r="AA20" s="88" t="str">
        <x:v>“Covers all of your skincare needs”属于禁止的全能承诺，且脚本较泛；需改写Hook与利益点。</x:v>
      </x:c>
      <x:c r="AB20" s="85" t="str">
        <x:v>Failure</x:v>
      </x:c>
      <x:c r="AC20" s="85" t="str">
        <x:v>bac818da9b65f813ce18a08ad23e5dc9969588c1c614d574b8682a79eb9429e9</x:v>
      </x:c>
    </x:row>
    <x:row r="21" ht="78" customHeight="1">
      <x:c r="A21" s="84" t="n">
        <x:v>18</x:v>
      </x:c>
      <x:c r="B21" s="84" t="str">
        <x:v>G009-B</x:v>
      </x:c>
      <x:c r="C21" s="84" t="str">
        <x:v>G009</x:v>
      </x:c>
      <x:c r="D21" s="84" t="str">
        <x:v>MV-KIT-001</x:v>
      </x:c>
      <x:c r="E21" s="84" t="str">
        <x:v>US</x:v>
      </x:c>
      <x:c r="F21" s="84" t="str">
        <x:v>en-US</x:v>
      </x:c>
      <x:c r="G21" s="84" t="str">
        <x:v>short_video_script</x:v>
      </x:c>
      <x:c r="H21" s="84" t="str">
        <x:v>B</x:v>
      </x:c>
      <x:c r="I21" s="84" t="str">
        <x:v>LocalizeFlow</x:v>
      </x:c>
      <x:c r="J21" s="88" t="str">
        <x:v>00:00–00:03 HOOK — Visual: Product in a simple routine. Voice: Three simple steps in a travel-size set.
00:03–00:08 VERIFIED FEATURE — Visual: Texture and package. Voice: Three fragrance-free mini products in one paper box.
00:08–00:13 USE + EXPERIENCE — Visual: Demonstrate use. Voice: Combines basic cleansing, hydration and moisturizing steps for simpler packing. Use the cleanser, serum and moisturizer in that order, following each product's directions.
00:13–00:15 CTA — On-screen: See product details.
CAPTION: A fragrance-free cleanser, serum and moisturizer organized in one compact paper box.</x:v>
      </x:c>
      <x:c r="K21" s="85" t="str">
        <x:v>Pass</x:v>
      </x:c>
      <x:c r="L21" s="85" t="n">
        <x:v>1</x:v>
      </x:c>
      <x:c r="M21" s="85" t="n">
        <x:v>4</x:v>
      </x:c>
      <x:c r="N21" s="85" t="n">
        <x:v>5</x:v>
      </x:c>
      <x:c r="O21" s="85" t="n">
        <x:v>4</x:v>
      </x:c>
      <x:c r="P21" s="85" t="n">
        <x:v>5</x:v>
      </x:c>
      <x:c r="Q21" s="85" t="n">
        <x:v>4</x:v>
      </x:c>
      <x:c r="R21" s="85" t="n">
        <x:v>4</x:v>
      </x:c>
      <x:c r="S21" s="85" t="n">
        <x:v>4</x:v>
      </x:c>
      <x:c r="T21" s="86" t="n">
        <x:v>4.285714285714286</x:v>
      </x:c>
      <x:c r="U21" s="85" t="n">
        <x:v>1</x:v>
      </x:c>
      <x:c r="V21" s="85" t="n">
        <x:v>4</x:v>
      </x:c>
      <x:c r="W21" s="87" t="n">
        <x:v>46231</x:v>
      </x:c>
      <x:c r="X21" s="85" t="str">
        <x:v>Reviewer-01</x:v>
      </x:c>
      <x:c r="Y21" s="85" t="str">
        <x:v>Complete</x:v>
      </x:c>
      <x:c r="Z21" s="85" t="str">
        <x:v>None</x:v>
      </x:c>
      <x:c r="AA21" s="88" t="str">
        <x:v>旅行场景、三步顺序和包装特点组织清晰，语气可信；发布前补充AIGC标识。</x:v>
      </x:c>
      <x:c r="AB21" s="85" t="str">
        <x:v>Reviewed</x:v>
      </x:c>
      <x:c r="AC21" s="85" t="str">
        <x:v>fc501c84ca63a3745558d723e3b81e6d1c9c4a2055aff2d6220dac635c86929d</x:v>
      </x:c>
    </x:row>
    <x:row r="22" ht="78" customHeight="1">
      <x:c r="A22" s="84" t="n">
        <x:v>19</x:v>
      </x:c>
      <x:c r="B22" s="84" t="str">
        <x:v>G010-A</x:v>
      </x:c>
      <x:c r="C22" s="84" t="str">
        <x:v>G010</x:v>
      </x:c>
      <x:c r="D22" s="84" t="str">
        <x:v>MV-SERUM-001</x:v>
      </x:c>
      <x:c r="E22" s="84" t="str">
        <x:v>US</x:v>
      </x:c>
      <x:c r="F22" s="84" t="str">
        <x:v>en-US</x:v>
      </x:c>
      <x:c r="G22" s="84" t="str">
        <x:v>short_video_script</x:v>
      </x:c>
      <x:c r="H22" s="84" t="str">
        <x:v>A</x:v>
      </x:c>
      <x:c r="I22" s="84" t="str">
        <x:v>Baseline</x:v>
      </x:c>
      <x:c r="J22" s="88" t="str">
        <x:v>0–3s: Show Moisturizing Serum. Voice: Hydrates and softens the skin.
3–10s: Show use. Voice: After washing, pump 1–2 times on face and neck, then use cream.
10–15s: Show package. Text: 30 mL. Buy now.
CAPTION: Moisturizing Serum for daily skin care.</x:v>
      </x:c>
      <x:c r="K22" s="85" t="str">
        <x:v>Pass</x:v>
      </x:c>
      <x:c r="L22" s="85" t="n">
        <x:v>1</x:v>
      </x:c>
      <x:c r="M22" s="85" t="n">
        <x:v>3</x:v>
      </x:c>
      <x:c r="N22" s="85" t="n">
        <x:v>3</x:v>
      </x:c>
      <x:c r="O22" s="85" t="n">
        <x:v>3</x:v>
      </x:c>
      <x:c r="P22" s="85" t="n">
        <x:v>4</x:v>
      </x:c>
      <x:c r="Q22" s="85" t="n">
        <x:v>3</x:v>
      </x:c>
      <x:c r="R22" s="85" t="n">
        <x:v>3</x:v>
      </x:c>
      <x:c r="S22" s="85" t="n">
        <x:v>3</x:v>
      </x:c>
      <x:c r="T22" s="86" t="n">
        <x:v>3.142857142857143</x:v>
      </x:c>
      <x:c r="U22" s="85" t="n">
        <x:v>3</x:v>
      </x:c>
      <x:c r="V22" s="85" t="n">
        <x:v>5</x:v>
      </x:c>
      <x:c r="W22" s="87" t="n">
        <x:v>46231</x:v>
      </x:c>
      <x:c r="X22" s="85" t="str">
        <x:v>Reviewer-01</x:v>
      </x:c>
      <x:c r="Y22" s="85" t="str">
        <x:v>Complete</x:v>
      </x:c>
      <x:c r="Z22" s="85" t="str">
        <x:v>None</x:v>
      </x:c>
      <x:c r="AA22" s="88" t="str">
        <x:v>事实基本准确，但“pump 1–2 times on face”等表达生硬，卖点较泛；需语言润色并补AIGC标识。</x:v>
      </x:c>
      <x:c r="AB22" s="85" t="str">
        <x:v>Reviewed</x:v>
      </x:c>
      <x:c r="AC22" s="85" t="str">
        <x:v>1778f33c16f6b1f37d450321c74213a75991e11b33d3507f18c9119115836f9d</x:v>
      </x:c>
    </x:row>
    <x:row r="23" ht="78" customHeight="1">
      <x:c r="A23" s="84" t="n">
        <x:v>20</x:v>
      </x:c>
      <x:c r="B23" s="84" t="str">
        <x:v>G010-B</x:v>
      </x:c>
      <x:c r="C23" s="84" t="str">
        <x:v>G010</x:v>
      </x:c>
      <x:c r="D23" s="84" t="str">
        <x:v>MV-SERUM-001</x:v>
      </x:c>
      <x:c r="E23" s="84" t="str">
        <x:v>US</x:v>
      </x:c>
      <x:c r="F23" s="84" t="str">
        <x:v>en-US</x:v>
      </x:c>
      <x:c r="G23" s="84" t="str">
        <x:v>short_video_script</x:v>
      </x:c>
      <x:c r="H23" s="84" t="str">
        <x:v>B</x:v>
      </x:c>
      <x:c r="I23" s="84" t="str">
        <x:v>LocalizeFlow</x:v>
      </x:c>
      <x:c r="J23" s="88" t="str">
        <x:v>00:00–00:03 HOOK — Visual: Product in a simple routine. Voice: Light hydration before moisturizer.
00:03–00:08 VERIFIED FEATURE — Visual: Texture and package. Voice: A water-based gel made without added fragrance.
00:08–00:13 USE + EXPERIENCE — Visual: Demonstrate use. Voice: Helps skin feel hydrated and soft. Apply 1–2 pumps to the face and neck after cleansing, follow with moisturizer, and avoid the eye area.
00:13–00:15 CTA — On-screen: See product details.
CAPTION: A water-based gel with glycerin, sodium hyaluronate and panthenol that helps skin feel hydrated.</x:v>
      </x:c>
      <x:c r="K23" s="85" t="str">
        <x:v>Pass</x:v>
      </x:c>
      <x:c r="L23" s="85" t="n">
        <x:v>1</x:v>
      </x:c>
      <x:c r="M23" s="85" t="n">
        <x:v>4</x:v>
      </x:c>
      <x:c r="N23" s="85" t="n">
        <x:v>5</x:v>
      </x:c>
      <x:c r="O23" s="85" t="n">
        <x:v>4</x:v>
      </x:c>
      <x:c r="P23" s="85" t="n">
        <x:v>5</x:v>
      </x:c>
      <x:c r="Q23" s="85" t="n">
        <x:v>4</x:v>
      </x:c>
      <x:c r="R23" s="85" t="n">
        <x:v>4</x:v>
      </x:c>
      <x:c r="S23" s="85" t="n">
        <x:v>4</x:v>
      </x:c>
      <x:c r="T23" s="86" t="n">
        <x:v>4.285714285714286</x:v>
      </x:c>
      <x:c r="U23" s="85" t="n">
        <x:v>1</x:v>
      </x:c>
      <x:c r="V23" s="85" t="n">
        <x:v>4</x:v>
      </x:c>
      <x:c r="W23" s="87" t="n">
        <x:v>46231</x:v>
      </x:c>
      <x:c r="X23" s="85" t="str">
        <x:v>Reviewer-01</x:v>
      </x:c>
      <x:c r="Y23" s="85" t="str">
        <x:v>Complete</x:v>
      </x:c>
      <x:c r="Z23" s="85" t="str">
        <x:v>None</x:v>
      </x:c>
      <x:c r="AA23" s="88" t="str">
        <x:v>轻盈补水定位、成分和用法均清楚，语言自然；仅需平台AIGC信息。</x:v>
      </x:c>
      <x:c r="AB23" s="85" t="str">
        <x:v>Reviewed</x:v>
      </x:c>
      <x:c r="AC23" s="85" t="str">
        <x:v>f3dc3f62a4a632a5f113335bde95766fb59eefeef32c12d0c62192011efb84be</x:v>
      </x:c>
    </x:row>
    <x:row r="24" ht="78" customHeight="1">
      <x:c r="A24" s="84" t="n">
        <x:v>21</x:v>
      </x:c>
      <x:c r="B24" s="84" t="str">
        <x:v>G011-A</x:v>
      </x:c>
      <x:c r="C24" s="84" t="str">
        <x:v>G011</x:v>
      </x:c>
      <x:c r="D24" s="84" t="str">
        <x:v>MV-CREAM-001</x:v>
      </x:c>
      <x:c r="E24" s="84" t="str">
        <x:v>MX</x:v>
      </x:c>
      <x:c r="F24" s="84" t="str">
        <x:v>es-MX</x:v>
      </x:c>
      <x:c r="G24" s="84" t="str">
        <x:v>social_ad_copy</x:v>
      </x:c>
      <x:c r="H24" s="84" t="str">
        <x:v>A</x:v>
      </x:c>
      <x:c r="I24" s="84" t="str">
        <x:v>LocalizeFlow</x:v>
      </x:c>
      <x:c r="J24" s="88" t="str">
        <x:v>GANCHO: Un paso hidratante sin fragancia añadida.
TEXTO: Con escualano, pantenol y beta-glucano para ayudar a que la piel se sienta suave e hidratada. Aplícala en el rostro y cuello limpios; durante el día, continúa con protector solar.
CTA: Consulta los detalles.</x:v>
      </x:c>
      <x:c r="K24" s="85" t="str">
        <x:v>Pass</x:v>
      </x:c>
      <x:c r="L24" s="85" t="n">
        <x:v>1</x:v>
      </x:c>
      <x:c r="M24" s="85" t="n">
        <x:v>4</x:v>
      </x:c>
      <x:c r="N24" s="85" t="n">
        <x:v>5</x:v>
      </x:c>
      <x:c r="O24" s="85" t="n">
        <x:v>5</x:v>
      </x:c>
      <x:c r="P24" s="85" t="n">
        <x:v>5</x:v>
      </x:c>
      <x:c r="Q24" s="85" t="n">
        <x:v>4</x:v>
      </x:c>
      <x:c r="R24" s="85" t="n">
        <x:v>4</x:v>
      </x:c>
      <x:c r="S24" s="85" t="n">
        <x:v>4</x:v>
      </x:c>
      <x:c r="T24" s="86" t="n">
        <x:v>4.428571428571429</x:v>
      </x:c>
      <x:c r="U24" s="85" t="n">
        <x:v>1</x:v>
      </x:c>
      <x:c r="V24" s="85" t="n">
        <x:v>4</x:v>
      </x:c>
      <x:c r="W24" s="87" t="n">
        <x:v>46231</x:v>
      </x:c>
      <x:c r="X24" s="85" t="str">
        <x:v>Reviewer-01</x:v>
      </x:c>
      <x:c r="Y24" s="85" t="str">
        <x:v>Complete</x:v>
      </x:c>
      <x:c r="Z24" s="85" t="str">
        <x:v>None</x:v>
      </x:c>
      <x:c r="AA24" s="88" t="str">
        <x:v>墨西哥西语自然，功效限定审慎且防晒步骤清楚；补充发布平台和AI使用状态即可。</x:v>
      </x:c>
      <x:c r="AB24" s="85" t="str">
        <x:v>Reviewed</x:v>
      </x:c>
      <x:c r="AC24" s="85" t="str">
        <x:v>d34b64d9d6d873dbddeae39608c0db65e04e75a1b03e784a0138f99351d2b4f0</x:v>
      </x:c>
    </x:row>
    <x:row r="25" ht="78" customHeight="1">
      <x:c r="A25" s="84" t="n">
        <x:v>22</x:v>
      </x:c>
      <x:c r="B25" s="84" t="str">
        <x:v>G011-B</x:v>
      </x:c>
      <x:c r="C25" s="84" t="str">
        <x:v>G011</x:v>
      </x:c>
      <x:c r="D25" s="84" t="str">
        <x:v>MV-CREAM-001</x:v>
      </x:c>
      <x:c r="E25" s="84" t="str">
        <x:v>MX</x:v>
      </x:c>
      <x:c r="F25" s="84" t="str">
        <x:v>es-MX</x:v>
      </x:c>
      <x:c r="G25" s="84" t="str">
        <x:v>social_ad_copy</x:v>
      </x:c>
      <x:c r="H25" s="84" t="str">
        <x:v>B</x:v>
      </x:c>
      <x:c r="I25" s="84" t="str">
        <x:v>Baseline</x:v>
      </x:c>
      <x:c r="J25" s="88" t="str">
        <x:v>GANCHO: Hidrata la piel seca.
TEXTO: Textura en crema sin fragancia añadida. Contiene glicerina, escualano, pantenol y beta-glucano. Pon una cantidad adecuada en cara y cuello limpios y usa bloqueador en el día.
CTA: Compra ahora.</x:v>
      </x:c>
      <x:c r="K25" s="85" t="str">
        <x:v>Pass</x:v>
      </x:c>
      <x:c r="L25" s="85" t="n">
        <x:v>1</x:v>
      </x:c>
      <x:c r="M25" s="85" t="n">
        <x:v>4</x:v>
      </x:c>
      <x:c r="N25" s="85" t="n">
        <x:v>3</x:v>
      </x:c>
      <x:c r="O25" s="85" t="n">
        <x:v>4</x:v>
      </x:c>
      <x:c r="P25" s="85" t="n">
        <x:v>4</x:v>
      </x:c>
      <x:c r="Q25" s="85" t="n">
        <x:v>3</x:v>
      </x:c>
      <x:c r="R25" s="85" t="n">
        <x:v>3</x:v>
      </x:c>
      <x:c r="S25" s="85" t="n">
        <x:v>3</x:v>
      </x:c>
      <x:c r="T25" s="86" t="n">
        <x:v>3.4285714285714284</x:v>
      </x:c>
      <x:c r="U25" s="85" t="n">
        <x:v>2</x:v>
      </x:c>
      <x:c r="V25" s="85" t="n">
        <x:v>5</x:v>
      </x:c>
      <x:c r="W25" s="87" t="n">
        <x:v>46231</x:v>
      </x:c>
      <x:c r="X25" s="85" t="str">
        <x:v>Reviewer-01</x:v>
      </x:c>
      <x:c r="Y25" s="85" t="str">
        <x:v>Complete</x:v>
      </x:c>
      <x:c r="Z25" s="85" t="str">
        <x:v>None</x:v>
      </x:c>
      <x:c r="AA25" s="88" t="str">
        <x:v>事实与成分准确，bloqueador符合本地用语；“Pon…en cara”等搭配较生硬，需润色并补平台信息。</x:v>
      </x:c>
      <x:c r="AB25" s="85" t="str">
        <x:v>Reviewed</x:v>
      </x:c>
      <x:c r="AC25" s="85" t="str">
        <x:v>072d45e6c2110daab6dfc053397b46f3e2e377e1f0c475f0b522c8c093871878</x:v>
      </x:c>
    </x:row>
    <x:row r="26" ht="78" customHeight="1">
      <x:c r="A26" s="84" t="n">
        <x:v>23</x:v>
      </x:c>
      <x:c r="B26" s="84" t="str">
        <x:v>G012-A</x:v>
      </x:c>
      <x:c r="C26" s="84" t="str">
        <x:v>G012</x:v>
      </x:c>
      <x:c r="D26" s="84" t="str">
        <x:v>MV-CREAM-001</x:v>
      </x:c>
      <x:c r="E26" s="84" t="str">
        <x:v>MX</x:v>
      </x:c>
      <x:c r="F26" s="84" t="str">
        <x:v>es-MX</x:v>
      </x:c>
      <x:c r="G26" s="84" t="str">
        <x:v>short_video_script</x:v>
      </x:c>
      <x:c r="H26" s="84" t="str">
        <x:v>A</x:v>
      </x:c>
      <x:c r="I26" s="84" t="str">
        <x:v>Baseline</x:v>
      </x:c>
      <x:c r="J26" s="88" t="str">
        <x:v>0–3 s: Muestra Crema de cara libre de fragancia. Voz: Hidrata la piel seca.
3–10 s: Muestra uso. Voz: Pon una cantidad adecuada en cara y cuello limpios y usa bloqueador en el día.
10–15 s: Muestra empaque. Texto: 50 mL. Compra ahora.
TEXTO: Crema de cara libre de fragancia para el cuidado diario de piel.</x:v>
      </x:c>
      <x:c r="K26" s="85" t="str">
        <x:v>Pass</x:v>
      </x:c>
      <x:c r="L26" s="85" t="n">
        <x:v>1</x:v>
      </x:c>
      <x:c r="M26" s="85" t="n">
        <x:v>3</x:v>
      </x:c>
      <x:c r="N26" s="85" t="n">
        <x:v>2</x:v>
      </x:c>
      <x:c r="O26" s="85" t="n">
        <x:v>3</x:v>
      </x:c>
      <x:c r="P26" s="85" t="n">
        <x:v>4</x:v>
      </x:c>
      <x:c r="Q26" s="85" t="n">
        <x:v>3</x:v>
      </x:c>
      <x:c r="R26" s="85" t="n">
        <x:v>3</x:v>
      </x:c>
      <x:c r="S26" s="85" t="n">
        <x:v>3</x:v>
      </x:c>
      <x:c r="T26" s="86" t="n">
        <x:v>3</x:v>
      </x:c>
      <x:c r="U26" s="85" t="n">
        <x:v>3</x:v>
      </x:c>
      <x:c r="V26" s="85" t="n">
        <x:v>6</x:v>
      </x:c>
      <x:c r="W26" s="87" t="n">
        <x:v>46231</x:v>
      </x:c>
      <x:c r="X26" s="85" t="str">
        <x:v>Reviewer-01</x:v>
      </x:c>
      <x:c r="Y26" s="85" t="str">
        <x:v>Complete</x:v>
      </x:c>
      <x:c r="Z26" s="85" t="str">
        <x:v>Language issue; Borderline mean score</x:v>
      </x:c>
      <x:c r="AA26" s="88" t="str">
        <x:v>事实基本准确，但“Crema de cara libre de fragancia”和“cuidado diario de piel”翻译感明显；需本地化润色。</x:v>
      </x:c>
      <x:c r="AB26" s="85" t="str">
        <x:v>Failure</x:v>
      </x:c>
      <x:c r="AC26" s="85" t="str">
        <x:v>caf169f27f55f29fef79fe859ae7e97196a9b63ea15b896762da0b6e871d2c56</x:v>
      </x:c>
    </x:row>
    <x:row r="27" ht="78" customHeight="1">
      <x:c r="A27" s="84" t="n">
        <x:v>24</x:v>
      </x:c>
      <x:c r="B27" s="84" t="str">
        <x:v>G012-B</x:v>
      </x:c>
      <x:c r="C27" s="84" t="str">
        <x:v>G012</x:v>
      </x:c>
      <x:c r="D27" s="84" t="str">
        <x:v>MV-CREAM-001</x:v>
      </x:c>
      <x:c r="E27" s="84" t="str">
        <x:v>MX</x:v>
      </x:c>
      <x:c r="F27" s="84" t="str">
        <x:v>es-MX</x:v>
      </x:c>
      <x:c r="G27" s="84" t="str">
        <x:v>short_video_script</x:v>
      </x:c>
      <x:c r="H27" s="84" t="str">
        <x:v>B</x:v>
      </x:c>
      <x:c r="I27" s="84" t="str">
        <x:v>LocalizeFlow</x:v>
      </x:c>
      <x:c r="J27" s="88" t="str">
        <x:v>00:00–00:03 GANCHO — Visual: Producto en una rutina sencilla. Voz: Un paso hidratante sin fragancia añadida.
00:03–00:08 CARACTERÍSTICA — Visual: Textura y envase. Voz: Textura en crema sin fragancia añadida.
00:08–00:13 USO + EXPERIENCIA — Visual: Demostración de uso. Voz: Ayuda a que la piel se sienta suave e hidratada. Aplícala en el rostro y cuello limpios; durante el día, continúa con protector solar.
00:13–00:15 CTA — Texto en pantalla: Consulta los detalles.
TEXTO: Con escualano, pantenol y beta-glucano para ayudar a que la piel se sienta suave e hidratada.</x:v>
      </x:c>
      <x:c r="K27" s="85" t="str">
        <x:v>Pass</x:v>
      </x:c>
      <x:c r="L27" s="85" t="n">
        <x:v>1</x:v>
      </x:c>
      <x:c r="M27" s="85" t="n">
        <x:v>4</x:v>
      </x:c>
      <x:c r="N27" s="85" t="n">
        <x:v>5</x:v>
      </x:c>
      <x:c r="O27" s="85" t="n">
        <x:v>5</x:v>
      </x:c>
      <x:c r="P27" s="85" t="n">
        <x:v>5</x:v>
      </x:c>
      <x:c r="Q27" s="85" t="n">
        <x:v>4</x:v>
      </x:c>
      <x:c r="R27" s="85" t="n">
        <x:v>4</x:v>
      </x:c>
      <x:c r="S27" s="85" t="n">
        <x:v>4</x:v>
      </x:c>
      <x:c r="T27" s="86" t="n">
        <x:v>4.428571428571429</x:v>
      </x:c>
      <x:c r="U27" s="85" t="n">
        <x:v>1</x:v>
      </x:c>
      <x:c r="V27" s="85" t="n">
        <x:v>4</x:v>
      </x:c>
      <x:c r="W27" s="87" t="n">
        <x:v>46231</x:v>
      </x:c>
      <x:c r="X27" s="85" t="str">
        <x:v>Reviewer-01</x:v>
      </x:c>
      <x:c r="Y27" s="85" t="str">
        <x:v>Complete</x:v>
      </x:c>
      <x:c r="Z27" s="85" t="str">
        <x:v>None</x:v>
      </x:c>
      <x:c r="AA27" s="88" t="str">
        <x:v>脚本语言自然，成分利益点与使用方法匹配，CTA适度；仅需AIGC标识。</x:v>
      </x:c>
      <x:c r="AB27" s="85" t="str">
        <x:v>Reviewed</x:v>
      </x:c>
      <x:c r="AC27" s="85" t="str">
        <x:v>c1556e3dbe633fef60bcbf4417e5d095af559ddf19146e2e418d3e14d37324ba</x:v>
      </x:c>
    </x:row>
    <x:row r="28" ht="78" customHeight="1">
      <x:c r="A28" s="84" t="n">
        <x:v>25</x:v>
      </x:c>
      <x:c r="B28" s="84" t="str">
        <x:v>G013-A</x:v>
      </x:c>
      <x:c r="C28" s="84" t="str">
        <x:v>G013</x:v>
      </x:c>
      <x:c r="D28" s="84" t="str">
        <x:v>MV-CLEAN-001</x:v>
      </x:c>
      <x:c r="E28" s="84" t="str">
        <x:v>US</x:v>
      </x:c>
      <x:c r="F28" s="84" t="str">
        <x:v>en-US</x:v>
      </x:c>
      <x:c r="G28" s="84" t="str">
        <x:v>short_video_script</x:v>
      </x:c>
      <x:c r="H28" s="84" t="str">
        <x:v>A</x:v>
      </x:c>
      <x:c r="I28" s="84" t="str">
        <x:v>Baseline</x:v>
      </x:c>
      <x:c r="J28" s="88" t="str">
        <x:v>0–3s: Show Amino Acid Facial Cleanser. Voice: Removes dirt and excess oil from skin.
3–10s: Show use. Voice: Use 1–2 pumps on the wet face, massage for 30 seconds and wash with water.
10–15s: Show package. Text: 120 mL. Buy now.
CAPTION: Amino Acid Facial Cleanser for daily skin care.</x:v>
      </x:c>
      <x:c r="K28" s="85" t="str">
        <x:v>Pass</x:v>
      </x:c>
      <x:c r="L28" s="85" t="n">
        <x:v>1</x:v>
      </x:c>
      <x:c r="M28" s="85" t="n">
        <x:v>3</x:v>
      </x:c>
      <x:c r="N28" s="85" t="n">
        <x:v>3</x:v>
      </x:c>
      <x:c r="O28" s="85" t="n">
        <x:v>3</x:v>
      </x:c>
      <x:c r="P28" s="85" t="n">
        <x:v>4</x:v>
      </x:c>
      <x:c r="Q28" s="85" t="n">
        <x:v>3</x:v>
      </x:c>
      <x:c r="R28" s="85" t="n">
        <x:v>3</x:v>
      </x:c>
      <x:c r="S28" s="85" t="n">
        <x:v>3</x:v>
      </x:c>
      <x:c r="T28" s="86" t="n">
        <x:v>3.142857142857143</x:v>
      </x:c>
      <x:c r="U28" s="85" t="n">
        <x:v>3</x:v>
      </x:c>
      <x:c r="V28" s="85" t="n">
        <x:v>5</x:v>
      </x:c>
      <x:c r="W28" s="87" t="n">
        <x:v>46231</x:v>
      </x:c>
      <x:c r="X28" s="85" t="str">
        <x:v>Reviewer-01</x:v>
      </x:c>
      <x:c r="Y28" s="85" t="str">
        <x:v>Complete</x:v>
      </x:c>
      <x:c r="Z28" s="85" t="str">
        <x:v>None</x:v>
      </x:c>
      <x:c r="AA28" s="88" t="str">
        <x:v>核心事实和时长结构可用，但“on the wet face”“wash with water”不够自然，且卖点区分度有限。</x:v>
      </x:c>
      <x:c r="AB28" s="85" t="str">
        <x:v>Reviewed</x:v>
      </x:c>
      <x:c r="AC28" s="85" t="str">
        <x:v>938bffe004e0204e48781c7ff3092b1f1efa90094a91ed5d91c6bf8522fa4d40</x:v>
      </x:c>
    </x:row>
    <x:row r="29" ht="78" customHeight="1">
      <x:c r="A29" s="84" t="n">
        <x:v>26</x:v>
      </x:c>
      <x:c r="B29" s="84" t="str">
        <x:v>G013-B</x:v>
      </x:c>
      <x:c r="C29" s="84" t="str">
        <x:v>G013</x:v>
      </x:c>
      <x:c r="D29" s="84" t="str">
        <x:v>MV-CLEAN-001</x:v>
      </x:c>
      <x:c r="E29" s="84" t="str">
        <x:v>US</x:v>
      </x:c>
      <x:c r="F29" s="84" t="str">
        <x:v>en-US</x:v>
      </x:c>
      <x:c r="G29" s="84" t="str">
        <x:v>short_video_script</x:v>
      </x:c>
      <x:c r="H29" s="84" t="str">
        <x:v>B</x:v>
      </x:c>
      <x:c r="I29" s="84" t="str">
        <x:v>LocalizeFlow</x:v>
      </x:c>
      <x:c r="J29" s="88" t="str">
        <x:v>00:00–00:03 HOOK — Visual: Product in a simple routine. Voice: A clear, fragrance-free start to your routine.
00:03–00:08 VERIFIED FEATURE — Visual: Texture and package. Voice: Made without added fragrance or sulfate surfactants.
00:08–00:13 USE + EXPERIENCE — Visual: Demonstrate use. Voice: Helps remove surface dirt and excess oil while leaving skin feeling comfortable. Massage 1–2 pumps over a wet face for about 30 seconds, rinse, and avoid the eye area.
00:13–00:15 CTA — On-screen: See product details.
CAPTION: Made without added fragrance or sulfate surfactants, this cleanser helps remove surface dirt and excess oil.</x:v>
      </x:c>
      <x:c r="K29" s="85" t="str">
        <x:v>Pass</x:v>
      </x:c>
      <x:c r="L29" s="85" t="n">
        <x:v>1</x:v>
      </x:c>
      <x:c r="M29" s="85" t="n">
        <x:v>4</x:v>
      </x:c>
      <x:c r="N29" s="85" t="n">
        <x:v>5</x:v>
      </x:c>
      <x:c r="O29" s="85" t="n">
        <x:v>4</x:v>
      </x:c>
      <x:c r="P29" s="85" t="n">
        <x:v>5</x:v>
      </x:c>
      <x:c r="Q29" s="85" t="n">
        <x:v>4</x:v>
      </x:c>
      <x:c r="R29" s="85" t="n">
        <x:v>4</x:v>
      </x:c>
      <x:c r="S29" s="85" t="n">
        <x:v>4</x:v>
      </x:c>
      <x:c r="T29" s="86" t="n">
        <x:v>4.285714285714286</x:v>
      </x:c>
      <x:c r="U29" s="85" t="n">
        <x:v>1</x:v>
      </x:c>
      <x:c r="V29" s="85" t="n">
        <x:v>4</x:v>
      </x:c>
      <x:c r="W29" s="87" t="n">
        <x:v>46231</x:v>
      </x:c>
      <x:c r="X29" s="85" t="str">
        <x:v>Reviewer-01</x:v>
      </x:c>
      <x:c r="Y29" s="85" t="str">
        <x:v>Complete</x:v>
      </x:c>
      <x:c r="Z29" s="85" t="str">
        <x:v>None</x:v>
      </x:c>
      <x:c r="AA29" s="88" t="str">
        <x:v>特征、清洁感受与使用步骤完整，语言自然克制；发布前补充AIGC标识。</x:v>
      </x:c>
      <x:c r="AB29" s="85" t="str">
        <x:v>Reviewed</x:v>
      </x:c>
      <x:c r="AC29" s="85" t="str">
        <x:v>ddab66df292a0729bc08def277bcfcbb008107e23a5f57adc4a7b2212b996964</x:v>
      </x:c>
    </x:row>
    <x:row r="30" ht="78" customHeight="1">
      <x:c r="A30" s="84" t="n">
        <x:v>27</x:v>
      </x:c>
      <x:c r="B30" s="84" t="str">
        <x:v>G014-A</x:v>
      </x:c>
      <x:c r="C30" s="84" t="str">
        <x:v>G014</x:v>
      </x:c>
      <x:c r="D30" s="84" t="str">
        <x:v>MV-SERUM-001</x:v>
      </x:c>
      <x:c r="E30" s="84" t="str">
        <x:v>MX</x:v>
      </x:c>
      <x:c r="F30" s="84" t="str">
        <x:v>es-MX</x:v>
      </x:c>
      <x:c r="G30" s="84" t="str">
        <x:v>social_ad_copy</x:v>
      </x:c>
      <x:c r="H30" s="84" t="str">
        <x:v>A</x:v>
      </x:c>
      <x:c r="I30" s="84" t="str">
        <x:v>LocalizeFlow</x:v>
      </x:c>
      <x:c r="J30" s="88" t="str">
        <x:v>GANCHO: Hidratación ligera antes de tu crema.
TEXTO: Un gel de base acuosa con glicerina, hialuronato de sodio y pantenol que ayuda a que la piel se sienta hidratada. Después de limpiar el rostro, aplica de 1 a 2 dosis en cara y cuello, continúa con tu crema hidratante y evita el contorno de ojos.
CTA: Consulta los detalles.</x:v>
      </x:c>
      <x:c r="K30" s="85" t="str">
        <x:v>Pass</x:v>
      </x:c>
      <x:c r="L30" s="85" t="n">
        <x:v>1</x:v>
      </x:c>
      <x:c r="M30" s="85" t="n">
        <x:v>4</x:v>
      </x:c>
      <x:c r="N30" s="85" t="n">
        <x:v>5</x:v>
      </x:c>
      <x:c r="O30" s="85" t="n">
        <x:v>5</x:v>
      </x:c>
      <x:c r="P30" s="85" t="n">
        <x:v>5</x:v>
      </x:c>
      <x:c r="Q30" s="85" t="n">
        <x:v>4</x:v>
      </x:c>
      <x:c r="R30" s="85" t="n">
        <x:v>4</x:v>
      </x:c>
      <x:c r="S30" s="85" t="n">
        <x:v>4</x:v>
      </x:c>
      <x:c r="T30" s="86" t="n">
        <x:v>4.428571428571429</x:v>
      </x:c>
      <x:c r="U30" s="85" t="n">
        <x:v>1</x:v>
      </x:c>
      <x:c r="V30" s="85" t="n">
        <x:v>4</x:v>
      </x:c>
      <x:c r="W30" s="87" t="n">
        <x:v>46231</x:v>
      </x:c>
      <x:c r="X30" s="85" t="str">
        <x:v>Reviewer-01</x:v>
      </x:c>
      <x:c r="Y30" s="85" t="str">
        <x:v>Complete</x:v>
      </x:c>
      <x:c r="Z30" s="85" t="str">
        <x:v>None</x:v>
      </x:c>
      <x:c r="AA30" s="88" t="str">
        <x:v>利益点、成分与用法表达准确自然，符合墨西哥西语习惯；补充平台及AI状态。</x:v>
      </x:c>
      <x:c r="AB30" s="85" t="str">
        <x:v>Reviewed</x:v>
      </x:c>
      <x:c r="AC30" s="85" t="str">
        <x:v>89448801880ec8371f2b25a669f207aa86443851ab8fd9e57fae43fde9e23f5c</x:v>
      </x:c>
    </x:row>
    <x:row r="31" ht="78" customHeight="1">
      <x:c r="A31" s="84" t="n">
        <x:v>28</x:v>
      </x:c>
      <x:c r="B31" s="84" t="str">
        <x:v>G014-B</x:v>
      </x:c>
      <x:c r="C31" s="84" t="str">
        <x:v>G014</x:v>
      </x:c>
      <x:c r="D31" s="84" t="str">
        <x:v>MV-SERUM-001</x:v>
      </x:c>
      <x:c r="E31" s="84" t="str">
        <x:v>MX</x:v>
      </x:c>
      <x:c r="F31" s="84" t="str">
        <x:v>es-MX</x:v>
      </x:c>
      <x:c r="G31" s="84" t="str">
        <x:v>social_ad_copy</x:v>
      </x:c>
      <x:c r="H31" s="84" t="str">
        <x:v>B</x:v>
      </x:c>
      <x:c r="I31" s="84" t="str">
        <x:v>Baseline</x:v>
      </x:c>
      <x:c r="J31" s="88" t="str">
        <x:v>GANCHO: Hidrata y suaviza la piel.
TEXTO: Gel de base acuosa sin fragancia añadida. Contiene glicerina, hialuronato de sodio y pantenol. Después de lavar, bombea 1–2 veces en cara y cuello y luego usa crema.
CTA: Compra ahora.</x:v>
      </x:c>
      <x:c r="K31" s="85" t="str">
        <x:v>Pass</x:v>
      </x:c>
      <x:c r="L31" s="85" t="n">
        <x:v>1</x:v>
      </x:c>
      <x:c r="M31" s="85" t="n">
        <x:v>4</x:v>
      </x:c>
      <x:c r="N31" s="85" t="n">
        <x:v>3</x:v>
      </x:c>
      <x:c r="O31" s="85" t="n">
        <x:v>3</x:v>
      </x:c>
      <x:c r="P31" s="85" t="n">
        <x:v>4</x:v>
      </x:c>
      <x:c r="Q31" s="85" t="n">
        <x:v>3</x:v>
      </x:c>
      <x:c r="R31" s="85" t="n">
        <x:v>3</x:v>
      </x:c>
      <x:c r="S31" s="85" t="n">
        <x:v>3</x:v>
      </x:c>
      <x:c r="T31" s="86" t="n">
        <x:v>3.2857142857142856</x:v>
      </x:c>
      <x:c r="U31" s="85" t="n">
        <x:v>3</x:v>
      </x:c>
      <x:c r="V31" s="85" t="n">
        <x:v>5</x:v>
      </x:c>
      <x:c r="W31" s="87" t="n">
        <x:v>46231</x:v>
      </x:c>
      <x:c r="X31" s="85" t="str">
        <x:v>Reviewer-01</x:v>
      </x:c>
      <x:c r="Y31" s="85" t="str">
        <x:v>Complete</x:v>
      </x:c>
      <x:c r="Z31" s="85" t="str">
        <x:v>None</x:v>
      </x:c>
      <x:c r="AA31" s="88" t="str">
        <x:v>事实准确但“bombea 1–2 veces”等搭配不自然，利益点较泛；需润色并补充平台元数据。</x:v>
      </x:c>
      <x:c r="AB31" s="85" t="str">
        <x:v>Reviewed</x:v>
      </x:c>
      <x:c r="AC31" s="85" t="str">
        <x:v>5d699bdc938f8b0798a89c72e1124eefe79eab5b49e085acd46523333fc0365b</x:v>
      </x:c>
    </x:row>
    <x:row r="32" ht="78" customHeight="1">
      <x:c r="A32" s="84" t="n">
        <x:v>29</x:v>
      </x:c>
      <x:c r="B32" s="84" t="str">
        <x:v>G015-A</x:v>
      </x:c>
      <x:c r="C32" s="84" t="str">
        <x:v>G015</x:v>
      </x:c>
      <x:c r="D32" s="84" t="str">
        <x:v>MV-KIT-001</x:v>
      </x:c>
      <x:c r="E32" s="84" t="str">
        <x:v>MX</x:v>
      </x:c>
      <x:c r="F32" s="84" t="str">
        <x:v>es-MX</x:v>
      </x:c>
      <x:c r="G32" s="84" t="str">
        <x:v>product_listing</x:v>
      </x:c>
      <x:c r="H32" s="84" t="str">
        <x:v>A</x:v>
      </x:c>
      <x:c r="I32" s="84" t="str">
        <x:v>Baseline</x:v>
      </x:c>
      <x:c r="J32" s="88" t="str">
        <x:v>TÍTULO: Mirevane Botanics Kit de cuidado de piel para viaje, 3 pieces / 55 mL total
PUNTO 1: Tres productos mini sin fragancia añadida en una caja de cartón.
PUNTO 2: Contiene limpiador de 30 mL, sérum de 10 mL y crema hidratante de 15 mL.
PUNTO 3: Cubre todas tus necesidades de piel cuando viajas.
DESCRIPCIÓN: Usa primero limpiador, segundo serum y tercero crema. Empaque: caja de cartón con tres productos mini que suman 55 mL.</x:v>
      </x:c>
      <x:c r="K32" s="85" t="str">
        <x:v>Fail</x:v>
      </x:c>
      <x:c r="L32" s="85" t="n">
        <x:v>0</x:v>
      </x:c>
      <x:c r="M32" s="85" t="n">
        <x:v>3</x:v>
      </x:c>
      <x:c r="N32" s="85" t="n">
        <x:v>2</x:v>
      </x:c>
      <x:c r="O32" s="85" t="n">
        <x:v>2</x:v>
      </x:c>
      <x:c r="P32" s="85" t="n">
        <x:v>1</x:v>
      </x:c>
      <x:c r="Q32" s="85" t="n">
        <x:v>2</x:v>
      </x:c>
      <x:c r="R32" s="85" t="n">
        <x:v>2</x:v>
      </x:c>
      <x:c r="S32" s="85" t="n">
        <x:v>1</x:v>
      </x:c>
      <x:c r="T32" s="86" t="n">
        <x:v>1.8571428571428572</x:v>
      </x:c>
      <x:c r="U32" s="85" t="n">
        <x:v>5</x:v>
      </x:c>
      <x:c r="V32" s="85" t="n">
        <x:v>8</x:v>
      </x:c>
      <x:c r="W32" s="87" t="n">
        <x:v>46231</x:v>
      </x:c>
      <x:c r="X32" s="85" t="str">
        <x:v>Reviewer-01</x:v>
      </x:c>
      <x:c r="Y32" s="85" t="str">
        <x:v>Complete</x:v>
      </x:c>
      <x:c r="Z32" s="85" t="str">
        <x:v>Prohibited claim; Localization issue; Platform structure</x:v>
      </x:c>
      <x:c r="AA32" s="88" t="str">
        <x:v>仅3个要点且中英混排，不符合Listing结构；“Cubre todas tus necesidades”是禁止的全能承诺，需重写。</x:v>
      </x:c>
      <x:c r="AB32" s="85" t="str">
        <x:v>Failure</x:v>
      </x:c>
      <x:c r="AC32" s="85" t="str">
        <x:v>808cdd7d129ad943fee77350c886a9b50b86c1d1dffd2ffc189fc12f9ea0ca14</x:v>
      </x:c>
    </x:row>
    <x:row r="33" ht="78" customHeight="1">
      <x:c r="A33" s="84" t="n">
        <x:v>30</x:v>
      </x:c>
      <x:c r="B33" s="84" t="str">
        <x:v>G015-B</x:v>
      </x:c>
      <x:c r="C33" s="84" t="str">
        <x:v>G015</x:v>
      </x:c>
      <x:c r="D33" s="84" t="str">
        <x:v>MV-KIT-001</x:v>
      </x:c>
      <x:c r="E33" s="84" t="str">
        <x:v>MX</x:v>
      </x:c>
      <x:c r="F33" s="84" t="str">
        <x:v>es-MX</x:v>
      </x:c>
      <x:c r="G33" s="84" t="str">
        <x:v>product_listing</x:v>
      </x:c>
      <x:c r="H33" s="84" t="str">
        <x:v>B</x:v>
      </x:c>
      <x:c r="I33" s="84" t="str">
        <x:v>LocalizeFlow</x:v>
      </x:c>
      <x:c r="J33" s="88" t="str">
        <x:v>TÍTULO: Mirevane Botanics Set básico de cuidado facial para viaje, 3 pieces / 55 mL total
PUNTO 1: Tres productos mini sin fragancia añadida en una caja de cartón.
PUNTO 2: Formulado con limpiador de 30 mL, sérum de 10 mL y crema hidratante de 15 mL.
PUNTO 3: Combina pasos básicos de limpieza, hidratación y humectación para llevar menos.
PUNTO 4: Usa el limpiador, el sérum y la crema hidratante en ese orden, siguiendo las indicaciones de cada producto.
PUNTO 5: Presentado en caja de cartón con tres productos mini que suman 55 mL.
DESCRIPCIÓN: Tres pasos sencillos en un set para viaje. Limpiador, sérum y crema hidratante sin fragancia añadida, reunidos en una caja compacta. Usa el limpiador, el sérum y la crema hidratante en ese orden, siguiendo las indicaciones de cada producto.</x:v>
      </x:c>
      <x:c r="K33" s="85" t="str">
        <x:v>Pass</x:v>
      </x:c>
      <x:c r="L33" s="85" t="n">
        <x:v>1</x:v>
      </x:c>
      <x:c r="M33" s="85" t="n">
        <x:v>5</x:v>
      </x:c>
      <x:c r="N33" s="85" t="n">
        <x:v>3</x:v>
      </x:c>
      <x:c r="O33" s="85" t="n">
        <x:v>3</x:v>
      </x:c>
      <x:c r="P33" s="85" t="n">
        <x:v>5</x:v>
      </x:c>
      <x:c r="Q33" s="85" t="n">
        <x:v>4</x:v>
      </x:c>
      <x:c r="R33" s="85" t="n">
        <x:v>4</x:v>
      </x:c>
      <x:c r="S33" s="85" t="n">
        <x:v>3</x:v>
      </x:c>
      <x:c r="T33" s="86" t="n">
        <x:v>3.857142857142857</x:v>
      </x:c>
      <x:c r="U33" s="85" t="n">
        <x:v>2</x:v>
      </x:c>
      <x:c r="V33" s="85" t="n">
        <x:v>6</x:v>
      </x:c>
      <x:c r="W33" s="87" t="n">
        <x:v>46231</x:v>
      </x:c>
      <x:c r="X33" s="85" t="str">
        <x:v>Reviewer-01</x:v>
      </x:c>
      <x:c r="Y33" s="85" t="str">
        <x:v>Complete</x:v>
      </x:c>
      <x:c r="Z33" s="85" t="str">
        <x:v>None</x:v>
      </x:c>
      <x:c r="AA33" s="88" t="str">
        <x:v>信息和Listing结构完整，但“Formulado con limpiador”及“3 pieces”不够自然；本地化润色后可用。</x:v>
      </x:c>
      <x:c r="AB33" s="85" t="str">
        <x:v>Reviewed</x:v>
      </x:c>
      <x:c r="AC33" s="85" t="str">
        <x:v>47ba67f0b2ceefeed0158672adc4bb170813bbd8ed922c27e2599a8dfa34a4aa</x:v>
      </x:c>
    </x:row>
    <x:row r="34" ht="78" customHeight="1">
      <x:c r="A34" s="84" t="n">
        <x:v>31</x:v>
      </x:c>
      <x:c r="B34" s="84" t="str">
        <x:v>G016-A</x:v>
      </x:c>
      <x:c r="C34" s="84" t="str">
        <x:v>G016</x:v>
      </x:c>
      <x:c r="D34" s="84" t="str">
        <x:v>MV-KIT-001</x:v>
      </x:c>
      <x:c r="E34" s="84" t="str">
        <x:v>US</x:v>
      </x:c>
      <x:c r="F34" s="84" t="str">
        <x:v>en-US</x:v>
      </x:c>
      <x:c r="G34" s="84" t="str">
        <x:v>product_listing</x:v>
      </x:c>
      <x:c r="H34" s="84" t="str">
        <x:v>A</x:v>
      </x:c>
      <x:c r="I34" s="84" t="str">
        <x:v>LocalizeFlow</x:v>
      </x:c>
      <x:c r="J34" s="88" t="str">
        <x:v>TITLE: Mirevane Botanics Travel Skincare Set, 3 pieces / 55 mL total
BULLET 1: Three fragrance-free mini products in one paper box.
BULLET 2: Made with a 30 mL cleanser, 10 mL serum and 15 mL moisturizer.
BULLET 3: Combines basic cleansing, hydration and moisturizing steps for simpler packing.
BULLET 4: Use the cleanser, serum and moisturizer in that order, following each product's directions.
BULLET 5: Presented in a paper box with three mini products totaling 55 mL.
DESCRIPTION: Three simple steps in a travel-size set. A fragrance-free cleanser, serum and moisturizer organized in one compact paper box. Use the cleanser, serum and moisturizer in that order, following each product's directions.</x:v>
      </x:c>
      <x:c r="K34" s="85" t="str">
        <x:v>Pass</x:v>
      </x:c>
      <x:c r="L34" s="85" t="n">
        <x:v>1</x:v>
      </x:c>
      <x:c r="M34" s="85" t="n">
        <x:v>5</x:v>
      </x:c>
      <x:c r="N34" s="85" t="n">
        <x:v>4</x:v>
      </x:c>
      <x:c r="O34" s="85" t="n">
        <x:v>4</x:v>
      </x:c>
      <x:c r="P34" s="85" t="n">
        <x:v>5</x:v>
      </x:c>
      <x:c r="Q34" s="85" t="n">
        <x:v>4</x:v>
      </x:c>
      <x:c r="R34" s="85" t="n">
        <x:v>4</x:v>
      </x:c>
      <x:c r="S34" s="85" t="n">
        <x:v>4</x:v>
      </x:c>
      <x:c r="T34" s="86" t="n">
        <x:v>4.285714285714286</x:v>
      </x:c>
      <x:c r="U34" s="85" t="n">
        <x:v>1</x:v>
      </x:c>
      <x:c r="V34" s="85" t="n">
        <x:v>5</x:v>
      </x:c>
      <x:c r="W34" s="87" t="n">
        <x:v>46231</x:v>
      </x:c>
      <x:c r="X34" s="85" t="str">
        <x:v>Reviewer-01</x:v>
      </x:c>
      <x:c r="Y34" s="85" t="str">
        <x:v>Complete</x:v>
      </x:c>
      <x:c r="Z34" s="85" t="str">
        <x:v>None</x:v>
      </x:c>
      <x:c r="AA34" s="88" t="str">
        <x:v>Listing结构完整、事实覆盖充分；“Made with a 30 mL cleanser”可轻微改写并补充结构化AI字段。</x:v>
      </x:c>
      <x:c r="AB34" s="85" t="str">
        <x:v>Reviewed</x:v>
      </x:c>
      <x:c r="AC34" s="85" t="str">
        <x:v>d9809bb359df02ad0a81913721a71bfe2d1bd948864d8e15bd7c8095e68a508e</x:v>
      </x:c>
    </x:row>
    <x:row r="35" ht="78" customHeight="1">
      <x:c r="A35" s="84" t="n">
        <x:v>32</x:v>
      </x:c>
      <x:c r="B35" s="84" t="str">
        <x:v>G016-B</x:v>
      </x:c>
      <x:c r="C35" s="84" t="str">
        <x:v>G016</x:v>
      </x:c>
      <x:c r="D35" s="84" t="str">
        <x:v>MV-KIT-001</x:v>
      </x:c>
      <x:c r="E35" s="84" t="str">
        <x:v>US</x:v>
      </x:c>
      <x:c r="F35" s="84" t="str">
        <x:v>en-US</x:v>
      </x:c>
      <x:c r="G35" s="84" t="str">
        <x:v>product_listing</x:v>
      </x:c>
      <x:c r="H35" s="84" t="str">
        <x:v>B</x:v>
      </x:c>
      <x:c r="I35" s="84" t="str">
        <x:v>Baseline</x:v>
      </x:c>
      <x:c r="J35" s="88" t="str">
        <x:v>TITLE: Mirevane Botanics Travel Skin Care Kit, 3 pieces / 55 mL total
BULLET 1: three fragrance-free mini products in one paper box.
BULLET 2: Contains a 30 mL cleanser, 10 mL serum and 15 mL moisturizer.
BULLET 3: Covers all of your skincare needs while traveling.
DESCRIPTION: Use cleanser first, serum second and cream third. Package: paper box with three mini products totaling 55 mL.</x:v>
      </x:c>
      <x:c r="K35" s="85" t="str">
        <x:v>Fail</x:v>
      </x:c>
      <x:c r="L35" s="85" t="n">
        <x:v>0</x:v>
      </x:c>
      <x:c r="M35" s="85" t="n">
        <x:v>3</x:v>
      </x:c>
      <x:c r="N35" s="85" t="n">
        <x:v>3</x:v>
      </x:c>
      <x:c r="O35" s="85" t="n">
        <x:v>3</x:v>
      </x:c>
      <x:c r="P35" s="85" t="n">
        <x:v>1</x:v>
      </x:c>
      <x:c r="Q35" s="85" t="n">
        <x:v>2</x:v>
      </x:c>
      <x:c r="R35" s="85" t="n">
        <x:v>2</x:v>
      </x:c>
      <x:c r="S35" s="85" t="n">
        <x:v>1</x:v>
      </x:c>
      <x:c r="T35" s="86" t="n">
        <x:v>2.142857142857143</x:v>
      </x:c>
      <x:c r="U35" s="85" t="n">
        <x:v>5</x:v>
      </x:c>
      <x:c r="V35" s="85" t="n">
        <x:v>8</x:v>
      </x:c>
      <x:c r="W35" s="87" t="n">
        <x:v>46231</x:v>
      </x:c>
      <x:c r="X35" s="85" t="str">
        <x:v>Reviewer-01</x:v>
      </x:c>
      <x:c r="Y35" s="85" t="str">
        <x:v>Complete</x:v>
      </x:c>
      <x:c r="Z35" s="85" t="str">
        <x:v>Prohibited claim; Platform structure</x:v>
      </x:c>
      <x:c r="AA35" s="88" t="str">
        <x:v>仅3个要点，且“Covers all of your skincare needs”违反事实边界；需要重写并补足Listing结构。</x:v>
      </x:c>
      <x:c r="AB35" s="85" t="str">
        <x:v>Failure</x:v>
      </x:c>
      <x:c r="AC35" s="85" t="str">
        <x:v>dbd8919f2134cbdc09e024a3862edca6c8e9e8fca60e20edc5f6de51f8534a3c</x:v>
      </x:c>
    </x:row>
    <x:row r="36" ht="78" customHeight="1">
      <x:c r="A36" s="84" t="n">
        <x:v>33</x:v>
      </x:c>
      <x:c r="B36" s="84" t="str">
        <x:v>G017-A</x:v>
      </x:c>
      <x:c r="C36" s="84" t="str">
        <x:v>G017</x:v>
      </x:c>
      <x:c r="D36" s="84" t="str">
        <x:v>MV-CREAM-001</x:v>
      </x:c>
      <x:c r="E36" s="84" t="str">
        <x:v>US</x:v>
      </x:c>
      <x:c r="F36" s="84" t="str">
        <x:v>en-US</x:v>
      </x:c>
      <x:c r="G36" s="84" t="str">
        <x:v>product_listing</x:v>
      </x:c>
      <x:c r="H36" s="84" t="str">
        <x:v>A</x:v>
      </x:c>
      <x:c r="I36" s="84" t="str">
        <x:v>Baseline</x:v>
      </x:c>
      <x:c r="J36" s="88" t="str">
        <x:v>TITLE: Mirevane Botanics Fragrance-Free Face Cream, 50 mL
BULLET 1: a cream texture made without added fragrance.
BULLET 2: Contains glycerin, squalane, panthenol and beta-glucan.
BULLET 3: Moisturizes dry skin.
DESCRIPTION: Put a suitable amount on clean face and neck and use sunscreen in daytime. Package: 50 mL PP jar with an inner lid.</x:v>
      </x:c>
      <x:c r="K36" s="85" t="str">
        <x:v>Fail</x:v>
      </x:c>
      <x:c r="L36" s="85" t="n">
        <x:v>0</x:v>
      </x:c>
      <x:c r="M36" s="85" t="n">
        <x:v>3</x:v>
      </x:c>
      <x:c r="N36" s="85" t="n">
        <x:v>3</x:v>
      </x:c>
      <x:c r="O36" s="85" t="n">
        <x:v>3</x:v>
      </x:c>
      <x:c r="P36" s="85" t="n">
        <x:v>4</x:v>
      </x:c>
      <x:c r="Q36" s="85" t="n">
        <x:v>2</x:v>
      </x:c>
      <x:c r="R36" s="85" t="n">
        <x:v>3</x:v>
      </x:c>
      <x:c r="S36" s="85" t="n">
        <x:v>2</x:v>
      </x:c>
      <x:c r="T36" s="86" t="n">
        <x:v>2.857142857142857</x:v>
      </x:c>
      <x:c r="U36" s="85" t="n">
        <x:v>4</x:v>
      </x:c>
      <x:c r="V36" s="85" t="n">
        <x:v>7</x:v>
      </x:c>
      <x:c r="W36" s="87" t="n">
        <x:v>46231</x:v>
      </x:c>
      <x:c r="X36" s="85" t="str">
        <x:v>Reviewer-01</x:v>
      </x:c>
      <x:c r="Y36" s="85" t="str">
        <x:v>Complete</x:v>
      </x:c>
      <x:c r="Z36" s="85" t="str">
        <x:v>Unsupported packaging; Platform structure</x:v>
      </x:c>
      <x:c r="AA36" s="88" t="str">
        <x:v>仅3个要点，不符合Listing最低结构；PP罐与内盖未获事实参考支持，需删除或核验。</x:v>
      </x:c>
      <x:c r="AB36" s="85" t="str">
        <x:v>Failure</x:v>
      </x:c>
      <x:c r="AC36" s="85" t="str">
        <x:v>28be465290205b291191eca8a8b2527ada150ee7c4900b464f1b65fca8f46d72</x:v>
      </x:c>
    </x:row>
    <x:row r="37" ht="78" customHeight="1">
      <x:c r="A37" s="84" t="n">
        <x:v>34</x:v>
      </x:c>
      <x:c r="B37" s="84" t="str">
        <x:v>G017-B</x:v>
      </x:c>
      <x:c r="C37" s="84" t="str">
        <x:v>G017</x:v>
      </x:c>
      <x:c r="D37" s="84" t="str">
        <x:v>MV-CREAM-001</x:v>
      </x:c>
      <x:c r="E37" s="84" t="str">
        <x:v>US</x:v>
      </x:c>
      <x:c r="F37" s="84" t="str">
        <x:v>en-US</x:v>
      </x:c>
      <x:c r="G37" s="84" t="str">
        <x:v>product_listing</x:v>
      </x:c>
      <x:c r="H37" s="84" t="str">
        <x:v>B</x:v>
      </x:c>
      <x:c r="I37" s="84" t="str">
        <x:v>LocalizeFlow</x:v>
      </x:c>
      <x:c r="J37" s="88" t="str">
        <x:v>TITLE: Mirevane Botanics Fragrance-Free Facial Moisturizer, 50 mL
BULLET 1: A cream texture made without added fragrance.
BULLET 2: Made with glycerin, squalane, panthenol and beta-glucan.
BULLET 3: Helps skin feel soft and moisturized.
BULLET 4: Apply to a clean face and neck; follow with sunscreen during the day.
BULLET 5: Presented in a 50 mL PP jar with an inner lid.
DESCRIPTION: A fragrance-free moisturizing step. Made with squalane, panthenol and beta-glucan to help skin feel soft and moisturized. Apply to a clean face and neck; follow with sunscreen during the day.</x:v>
      </x:c>
      <x:c r="K37" s="85" t="str">
        <x:v>Fail</x:v>
      </x:c>
      <x:c r="L37" s="85" t="n">
        <x:v>0</x:v>
      </x:c>
      <x:c r="M37" s="85" t="n">
        <x:v>5</x:v>
      </x:c>
      <x:c r="N37" s="85" t="n">
        <x:v>5</x:v>
      </x:c>
      <x:c r="O37" s="85" t="n">
        <x:v>4</x:v>
      </x:c>
      <x:c r="P37" s="85" t="n">
        <x:v>4</x:v>
      </x:c>
      <x:c r="Q37" s="85" t="n">
        <x:v>4</x:v>
      </x:c>
      <x:c r="R37" s="85" t="n">
        <x:v>4</x:v>
      </x:c>
      <x:c r="S37" s="85" t="n">
        <x:v>2</x:v>
      </x:c>
      <x:c r="T37" s="86" t="n">
        <x:v>4</x:v>
      </x:c>
      <x:c r="U37" s="85" t="n">
        <x:v>2</x:v>
      </x:c>
      <x:c r="V37" s="85" t="n">
        <x:v>6</x:v>
      </x:c>
      <x:c r="W37" s="87" t="n">
        <x:v>46231</x:v>
      </x:c>
      <x:c r="X37" s="85" t="str">
        <x:v>Reviewer-01</x:v>
      </x:c>
      <x:c r="Y37" s="85" t="str">
        <x:v>Complete</x:v>
      </x:c>
      <x:c r="Z37" s="85" t="str">
        <x:v>Unsupported packaging</x:v>
      </x:c>
      <x:c r="AA37" s="88" t="str">
        <x:v>内容结构和语言优秀，但PP罐与内盖未获事实参考支持；修正包装陈述并补AI字段后可发布。</x:v>
      </x:c>
      <x:c r="AB37" s="85" t="str">
        <x:v>Failure</x:v>
      </x:c>
      <x:c r="AC37" s="85" t="str">
        <x:v>7ff6c774e55dd7f4cee24bd6cca90918aba330780696be198809dbf96e50fb26</x:v>
      </x:c>
    </x:row>
    <x:row r="38" ht="78" customHeight="1">
      <x:c r="A38" s="84" t="n">
        <x:v>35</x:v>
      </x:c>
      <x:c r="B38" s="84" t="str">
        <x:v>G018-A</x:v>
      </x:c>
      <x:c r="C38" s="84" t="str">
        <x:v>G018</x:v>
      </x:c>
      <x:c r="D38" s="84" t="str">
        <x:v>MV-SERUM-001</x:v>
      </x:c>
      <x:c r="E38" s="84" t="str">
        <x:v>US</x:v>
      </x:c>
      <x:c r="F38" s="84" t="str">
        <x:v>en-US</x:v>
      </x:c>
      <x:c r="G38" s="84" t="str">
        <x:v>product_listing</x:v>
      </x:c>
      <x:c r="H38" s="84" t="str">
        <x:v>A</x:v>
      </x:c>
      <x:c r="I38" s="84" t="str">
        <x:v>Baseline</x:v>
      </x:c>
      <x:c r="J38" s="88" t="str">
        <x:v>TITLE: Mirevane Botanics Moisturizing Serum, 30 mL
BULLET 1: a water-based gel made without added fragrance.
BULLET 2: Contains glycerin, sodium hyaluronate and panthenol.
BULLET 3: Hydrates and softens the skin.
DESCRIPTION: After washing, pump 1–2 times on face and neck, then use cream. Package: opaque 30 mL PP pump bottle.</x:v>
      </x:c>
      <x:c r="K38" s="85" t="str">
        <x:v>Fail</x:v>
      </x:c>
      <x:c r="L38" s="85" t="n">
        <x:v>0</x:v>
      </x:c>
      <x:c r="M38" s="85" t="n">
        <x:v>3</x:v>
      </x:c>
      <x:c r="N38" s="85" t="n">
        <x:v>3</x:v>
      </x:c>
      <x:c r="O38" s="85" t="n">
        <x:v>3</x:v>
      </x:c>
      <x:c r="P38" s="85" t="n">
        <x:v>4</x:v>
      </x:c>
      <x:c r="Q38" s="85" t="n">
        <x:v>2</x:v>
      </x:c>
      <x:c r="R38" s="85" t="n">
        <x:v>3</x:v>
      </x:c>
      <x:c r="S38" s="85" t="n">
        <x:v>2</x:v>
      </x:c>
      <x:c r="T38" s="86" t="n">
        <x:v>2.857142857142857</x:v>
      </x:c>
      <x:c r="U38" s="85" t="n">
        <x:v>4</x:v>
      </x:c>
      <x:c r="V38" s="85" t="n">
        <x:v>7</x:v>
      </x:c>
      <x:c r="W38" s="87" t="n">
        <x:v>46231</x:v>
      </x:c>
      <x:c r="X38" s="85" t="str">
        <x:v>Reviewer-01</x:v>
      </x:c>
      <x:c r="Y38" s="85" t="str">
        <x:v>Complete</x:v>
      </x:c>
      <x:c r="Z38" s="85" t="str">
        <x:v>Unsupported packaging; Platform structure</x:v>
      </x:c>
      <x:c r="AA38" s="88" t="str">
        <x:v>仅3个要点，且不透明PP泵瓶材质未获事实参考支持；需补足结构、删除或核验包装。</x:v>
      </x:c>
      <x:c r="AB38" s="85" t="str">
        <x:v>Failure</x:v>
      </x:c>
      <x:c r="AC38" s="85" t="str">
        <x:v>eb0d2c1e797a70316315c079baad1eb721a7074a0c1c858d0705ba6af9dc8e66</x:v>
      </x:c>
    </x:row>
    <x:row r="39" ht="78" customHeight="1">
      <x:c r="A39" s="84" t="n">
        <x:v>36</x:v>
      </x:c>
      <x:c r="B39" s="84" t="str">
        <x:v>G018-B</x:v>
      </x:c>
      <x:c r="C39" s="84" t="str">
        <x:v>G018</x:v>
      </x:c>
      <x:c r="D39" s="84" t="str">
        <x:v>MV-SERUM-001</x:v>
      </x:c>
      <x:c r="E39" s="84" t="str">
        <x:v>US</x:v>
      </x:c>
      <x:c r="F39" s="84" t="str">
        <x:v>en-US</x:v>
      </x:c>
      <x:c r="G39" s="84" t="str">
        <x:v>product_listing</x:v>
      </x:c>
      <x:c r="H39" s="84" t="str">
        <x:v>B</x:v>
      </x:c>
      <x:c r="I39" s="84" t="str">
        <x:v>LocalizeFlow</x:v>
      </x:c>
      <x:c r="J39" s="88" t="str">
        <x:v>TITLE: Mirevane Botanics Hydrating Serum, 30 mL
BULLET 1: A water-based gel made without added fragrance.
BULLET 2: Made with glycerin, sodium hyaluronate and panthenol.
BULLET 3: Helps skin feel hydrated and soft.
BULLET 4: Apply 1–2 pumps to the face and neck after cleansing, follow with moisturizer, and avoid the eye area.
BULLET 5: Presented in a opaque 30 mL PP pump bottle.
DESCRIPTION: Light hydration before moisturizer. A water-based gel with glycerin, sodium hyaluronate and panthenol that helps skin feel hydrated. Apply 1–2 pumps to the face and neck after cleansing, follow with moisturizer, and avoid the eye area.</x:v>
      </x:c>
      <x:c r="K39" s="85" t="str">
        <x:v>Fail</x:v>
      </x:c>
      <x:c r="L39" s="85" t="n">
        <x:v>0</x:v>
      </x:c>
      <x:c r="M39" s="85" t="n">
        <x:v>5</x:v>
      </x:c>
      <x:c r="N39" s="85" t="n">
        <x:v>4</x:v>
      </x:c>
      <x:c r="O39" s="85" t="n">
        <x:v>4</x:v>
      </x:c>
      <x:c r="P39" s="85" t="n">
        <x:v>4</x:v>
      </x:c>
      <x:c r="Q39" s="85" t="n">
        <x:v>4</x:v>
      </x:c>
      <x:c r="R39" s="85" t="n">
        <x:v>4</x:v>
      </x:c>
      <x:c r="S39" s="85" t="n">
        <x:v>2</x:v>
      </x:c>
      <x:c r="T39" s="86" t="n">
        <x:v>3.857142857142857</x:v>
      </x:c>
      <x:c r="U39" s="85" t="n">
        <x:v>3</x:v>
      </x:c>
      <x:c r="V39" s="85" t="n">
        <x:v>6</x:v>
      </x:c>
      <x:c r="W39" s="87" t="n">
        <x:v>46231</x:v>
      </x:c>
      <x:c r="X39" s="85" t="str">
        <x:v>Reviewer-01</x:v>
      </x:c>
      <x:c r="Y39" s="85" t="str">
        <x:v>Complete</x:v>
      </x:c>
      <x:c r="Z39" s="85" t="str">
        <x:v>Unsupported packaging; Language issue</x:v>
      </x:c>
      <x:c r="AA39" s="88" t="str">
        <x:v>Listing信息完整，但“a opaque”有语法错误，且不透明PP瓶材质无事实依据；需修正后发布。</x:v>
      </x:c>
      <x:c r="AB39" s="85" t="str">
        <x:v>Failure</x:v>
      </x:c>
      <x:c r="AC39" s="85" t="str">
        <x:v>bb2e045fb8f3db9fd03c45056debdaec8d8bac1f6b5fd7a3e33a078e670e0f5f</x:v>
      </x:c>
    </x:row>
    <x:row r="40" ht="78" customHeight="1">
      <x:c r="A40" s="84" t="n">
        <x:v>37</x:v>
      </x:c>
      <x:c r="B40" s="84" t="str">
        <x:v>G019-A</x:v>
      </x:c>
      <x:c r="C40" s="84" t="str">
        <x:v>G019</x:v>
      </x:c>
      <x:c r="D40" s="84" t="str">
        <x:v>MV-HAND-001</x:v>
      </x:c>
      <x:c r="E40" s="84" t="str">
        <x:v>US</x:v>
      </x:c>
      <x:c r="F40" s="84" t="str">
        <x:v>en-US</x:v>
      </x:c>
      <x:c r="G40" s="84" t="str">
        <x:v>social_ad_copy</x:v>
      </x:c>
      <x:c r="H40" s="84" t="str">
        <x:v>A</x:v>
      </x:c>
      <x:c r="I40" s="84" t="str">
        <x:v>LocalizeFlow</x:v>
      </x:c>
      <x:c r="J40" s="88" t="str">
        <x:v>HOOK: A simple hand-care step after washing.
BODY: Made with glycerin, shea butter, panthenol and allantoin to help hands feel soft and moisturized. Massage into hands and around the nails as needed; for external use only.
CTA: See product details.</x:v>
      </x:c>
      <x:c r="K40" s="85" t="str">
        <x:v>Pass</x:v>
      </x:c>
      <x:c r="L40" s="85" t="n">
        <x:v>1</x:v>
      </x:c>
      <x:c r="M40" s="85" t="n">
        <x:v>4</x:v>
      </x:c>
      <x:c r="N40" s="85" t="n">
        <x:v>5</x:v>
      </x:c>
      <x:c r="O40" s="85" t="n">
        <x:v>4</x:v>
      </x:c>
      <x:c r="P40" s="85" t="n">
        <x:v>5</x:v>
      </x:c>
      <x:c r="Q40" s="85" t="n">
        <x:v>4</x:v>
      </x:c>
      <x:c r="R40" s="85" t="n">
        <x:v>4</x:v>
      </x:c>
      <x:c r="S40" s="85" t="n">
        <x:v>4</x:v>
      </x:c>
      <x:c r="T40" s="86" t="n">
        <x:v>4.285714285714286</x:v>
      </x:c>
      <x:c r="U40" s="85" t="n">
        <x:v>1</x:v>
      </x:c>
      <x:c r="V40" s="85" t="n">
        <x:v>4</x:v>
      </x:c>
      <x:c r="W40" s="87" t="n">
        <x:v>46231</x:v>
      </x:c>
      <x:c r="X40" s="85" t="str">
        <x:v>Reviewer-01</x:v>
      </x:c>
      <x:c r="Y40" s="85" t="str">
        <x:v>Complete</x:v>
      </x:c>
      <x:c r="Z40" s="85" t="str">
        <x:v>None</x:v>
      </x:c>
      <x:c r="AA40" s="88" t="str">
        <x:v>日常洗手场景明确，功效限定与用法准确，CTA自然；补充平台和AI使用状态即可。</x:v>
      </x:c>
      <x:c r="AB40" s="85" t="str">
        <x:v>Reviewed</x:v>
      </x:c>
      <x:c r="AC40" s="85" t="str">
        <x:v>6d24e0420a2b16d063d819eec984693050bee12773139123f2bc6506bedbecd3</x:v>
      </x:c>
    </x:row>
    <x:row r="41" ht="78" customHeight="1">
      <x:c r="A41" s="84" t="n">
        <x:v>38</x:v>
      </x:c>
      <x:c r="B41" s="84" t="str">
        <x:v>G019-B</x:v>
      </x:c>
      <x:c r="C41" s="84" t="str">
        <x:v>G019</x:v>
      </x:c>
      <x:c r="D41" s="84" t="str">
        <x:v>MV-HAND-001</x:v>
      </x:c>
      <x:c r="E41" s="84" t="str">
        <x:v>US</x:v>
      </x:c>
      <x:c r="F41" s="84" t="str">
        <x:v>en-US</x:v>
      </x:c>
      <x:c r="G41" s="84" t="str">
        <x:v>social_ad_copy</x:v>
      </x:c>
      <x:c r="H41" s="84" t="str">
        <x:v>B</x:v>
      </x:c>
      <x:c r="I41" s="84" t="str">
        <x:v>Baseline</x:v>
      </x:c>
      <x:c r="J41" s="88" t="str">
        <x:v>HOOK: Repairs dry hands after washing.
BODY: made without added fragrance in an aluminum tube. Contains glycerin, shea butter, panthenol and allantoin. Apply to hands and nail edges repeatedly when needed.
CTA: Buy now.</x:v>
      </x:c>
      <x:c r="K41" s="85" t="str">
        <x:v>Fail</x:v>
      </x:c>
      <x:c r="L41" s="85" t="n">
        <x:v>0</x:v>
      </x:c>
      <x:c r="M41" s="85" t="n">
        <x:v>4</x:v>
      </x:c>
      <x:c r="N41" s="85" t="n">
        <x:v>3</x:v>
      </x:c>
      <x:c r="O41" s="85" t="n">
        <x:v>3</x:v>
      </x:c>
      <x:c r="P41" s="85" t="n">
        <x:v>1</x:v>
      </x:c>
      <x:c r="Q41" s="85" t="n">
        <x:v>3</x:v>
      </x:c>
      <x:c r="R41" s="85" t="n">
        <x:v>2</x:v>
      </x:c>
      <x:c r="S41" s="85" t="n">
        <x:v>2</x:v>
      </x:c>
      <x:c r="T41" s="86" t="n">
        <x:v>2.5714285714285716</x:v>
      </x:c>
      <x:c r="U41" s="85" t="n">
        <x:v>4</x:v>
      </x:c>
      <x:c r="V41" s="85" t="n">
        <x:v>7</x:v>
      </x:c>
      <x:c r="W41" s="87" t="n">
        <x:v>46231</x:v>
      </x:c>
      <x:c r="X41" s="85" t="str">
        <x:v>Reviewer-01</x:v>
      </x:c>
      <x:c r="Y41" s="85" t="str">
        <x:v>Complete</x:v>
      </x:c>
      <x:c r="Z41" s="85" t="str">
        <x:v>Prohibited claim; Packaging mismatch</x:v>
      </x:c>
      <x:c r="AA41" s="88" t="str">
        <x:v>“Repairs dry hands”越界，铝管材质也与事实参考不一致；需要重写Hook并修正包装信息。</x:v>
      </x:c>
      <x:c r="AB41" s="85" t="str">
        <x:v>Failure</x:v>
      </x:c>
      <x:c r="AC41" s="85" t="str">
        <x:v>f63cbb5dfb0903025287fd928492ff14ce6654a6d29cc27be924e0f872892503</x:v>
      </x:c>
    </x:row>
    <x:row r="42" ht="78" customHeight="1">
      <x:c r="A42" s="84" t="n">
        <x:v>39</x:v>
      </x:c>
      <x:c r="B42" s="84" t="str">
        <x:v>G020-A</x:v>
      </x:c>
      <x:c r="C42" s="84" t="str">
        <x:v>G020</x:v>
      </x:c>
      <x:c r="D42" s="84" t="str">
        <x:v>MV-CLEAN-001</x:v>
      </x:c>
      <x:c r="E42" s="84" t="str">
        <x:v>MX</x:v>
      </x:c>
      <x:c r="F42" s="84" t="str">
        <x:v>es-MX</x:v>
      </x:c>
      <x:c r="G42" s="84" t="str">
        <x:v>product_listing</x:v>
      </x:c>
      <x:c r="H42" s="84" t="str">
        <x:v>A</x:v>
      </x:c>
      <x:c r="I42" s="84" t="str">
        <x:v>Baseline</x:v>
      </x:c>
      <x:c r="J42" s="88" t="str">
        <x:v>TÍTULO: Mirevane Botanics Limpiador facial de aminoácidos, 120 mL
PUNTO 1: Sin fragancia añadida ni tensioactivos con sulfatos.
PUNTO 2: Contiene glicerina, glicinato de cocoilo de sodio y pantenol.
PUNTO 3: Elimina la suciedad y el exceso de grasa de la piel.
DESCRIPCIÓN: Usa 1–2 bombas en la cara mojada, masajea 30 segundos y lava con agua. Empaque: envase PET con bomba de 120 mL.</x:v>
      </x:c>
      <x:c r="K42" s="85" t="str">
        <x:v>Fail</x:v>
      </x:c>
      <x:c r="L42" s="85" t="n">
        <x:v>0</x:v>
      </x:c>
      <x:c r="M42" s="85" t="n">
        <x:v>3</x:v>
      </x:c>
      <x:c r="N42" s="85" t="n">
        <x:v>3</x:v>
      </x:c>
      <x:c r="O42" s="85" t="n">
        <x:v>3</x:v>
      </x:c>
      <x:c r="P42" s="85" t="n">
        <x:v>4</x:v>
      </x:c>
      <x:c r="Q42" s="85" t="n">
        <x:v>2</x:v>
      </x:c>
      <x:c r="R42" s="85" t="n">
        <x:v>3</x:v>
      </x:c>
      <x:c r="S42" s="85" t="n">
        <x:v>2</x:v>
      </x:c>
      <x:c r="T42" s="86" t="n">
        <x:v>2.857142857142857</x:v>
      </x:c>
      <x:c r="U42" s="85" t="n">
        <x:v>4</x:v>
      </x:c>
      <x:c r="V42" s="85" t="n">
        <x:v>7</x:v>
      </x:c>
      <x:c r="W42" s="87" t="n">
        <x:v>46231</x:v>
      </x:c>
      <x:c r="X42" s="85" t="str">
        <x:v>Reviewer-01</x:v>
      </x:c>
      <x:c r="Y42" s="85" t="str">
        <x:v>Complete</x:v>
      </x:c>
      <x:c r="Z42" s="85" t="str">
        <x:v>Unsupported packaging; Platform structure</x:v>
      </x:c>
      <x:c r="AA42" s="88" t="str">
        <x:v>仅3个要点，PET瓶材质未获事实参考支持；需补足Listing结构并核验或删除包装材质。</x:v>
      </x:c>
      <x:c r="AB42" s="85" t="str">
        <x:v>Failure</x:v>
      </x:c>
      <x:c r="AC42" s="85" t="str">
        <x:v>2d8aab2dcac6f22f1d831675502ee03804a680a8ebf1fb52de2642488f0498f2</x:v>
      </x:c>
    </x:row>
    <x:row r="43" ht="78" customHeight="1">
      <x:c r="A43" s="84" t="n">
        <x:v>40</x:v>
      </x:c>
      <x:c r="B43" s="84" t="str">
        <x:v>G020-B</x:v>
      </x:c>
      <x:c r="C43" s="84" t="str">
        <x:v>G020</x:v>
      </x:c>
      <x:c r="D43" s="84" t="str">
        <x:v>MV-CLEAN-001</x:v>
      </x:c>
      <x:c r="E43" s="84" t="str">
        <x:v>MX</x:v>
      </x:c>
      <x:c r="F43" s="84" t="str">
        <x:v>es-MX</x:v>
      </x:c>
      <x:c r="G43" s="84" t="str">
        <x:v>product_listing</x:v>
      </x:c>
      <x:c r="H43" s="84" t="str">
        <x:v>B</x:v>
      </x:c>
      <x:c r="I43" s="84" t="str">
        <x:v>LocalizeFlow</x:v>
      </x:c>
      <x:c r="J43" s="88" t="str">
        <x:v>TÍTULO: Mirevane Botanics Limpiador facial, 120 mL
PUNTO 1: Sin fragancia añadida ni tensioactivos con sulfatos.
PUNTO 2: Formulado con glicerina, glicinato de cocoilo de sodio y pantenol.
PUNTO 3: Ayuda a retirar la suciedad superficial y el exceso de grasa, dejando una sensación cómoda.
PUNTO 4: Masajea de 1 a 2 dosis sobre el rostro húmedo durante unos 30 segundos, enjuaga y evita el contorno de ojos.
PUNTO 5: Presentado en envase PET con bomba de 120 mL.
DESCRIPCIÓN: Un inicio claro y sin fragancia añadida para tu rutina. Sin fragancia añadida ni tensioactivos con sulfatos; ayuda a retirar la suciedad superficial y el exceso de grasa. Masajea de 1 a 2 dosis sobre el rostro húmedo durante unos 30 segundos, enjuaga y evita el contorno de ojos.</x:v>
      </x:c>
      <x:c r="K43" s="85" t="str">
        <x:v>Fail</x:v>
      </x:c>
      <x:c r="L43" s="85" t="n">
        <x:v>0</x:v>
      </x:c>
      <x:c r="M43" s="85" t="n">
        <x:v>5</x:v>
      </x:c>
      <x:c r="N43" s="85" t="n">
        <x:v>5</x:v>
      </x:c>
      <x:c r="O43" s="85" t="n">
        <x:v>5</x:v>
      </x:c>
      <x:c r="P43" s="85" t="n">
        <x:v>4</x:v>
      </x:c>
      <x:c r="Q43" s="85" t="n">
        <x:v>4</x:v>
      </x:c>
      <x:c r="R43" s="85" t="n">
        <x:v>4</x:v>
      </x:c>
      <x:c r="S43" s="85" t="n">
        <x:v>2</x:v>
      </x:c>
      <x:c r="T43" s="86" t="n">
        <x:v>4.142857142857143</x:v>
      </x:c>
      <x:c r="U43" s="85" t="n">
        <x:v>2</x:v>
      </x:c>
      <x:c r="V43" s="85" t="n">
        <x:v>6</x:v>
      </x:c>
      <x:c r="W43" s="87" t="n">
        <x:v>46231</x:v>
      </x:c>
      <x:c r="X43" s="85" t="str">
        <x:v>Reviewer-01</x:v>
      </x:c>
      <x:c r="Y43" s="85" t="str">
        <x:v>Complete</x:v>
      </x:c>
      <x:c r="Z43" s="85" t="str">
        <x:v>Unsupported packaging</x:v>
      </x:c>
      <x:c r="AA43" s="88" t="str">
        <x:v>西语自然且信息完整，但PET瓶材质无事实参考依据；删除或核验材质并补结构化AI字段。</x:v>
      </x:c>
      <x:c r="AB43" s="85" t="str">
        <x:v>Failure</x:v>
      </x:c>
      <x:c r="AC43" s="85" t="str">
        <x:v>b23256fa7903e557e3fe6b408cc5571b9426b4d6acc9e901f18750b139406e5b</x:v>
      </x:c>
    </x:row>
    <x:row r="44" ht="78" customHeight="1">
      <x:c r="A44" s="84" t="n">
        <x:v>41</x:v>
      </x:c>
      <x:c r="B44" s="84" t="str">
        <x:v>G021-A</x:v>
      </x:c>
      <x:c r="C44" s="84" t="str">
        <x:v>G021</x:v>
      </x:c>
      <x:c r="D44" s="84" t="str">
        <x:v>MV-CLEAN-001</x:v>
      </x:c>
      <x:c r="E44" s="84" t="str">
        <x:v>US</x:v>
      </x:c>
      <x:c r="F44" s="84" t="str">
        <x:v>en-US</x:v>
      </x:c>
      <x:c r="G44" s="84" t="str">
        <x:v>product_listing</x:v>
      </x:c>
      <x:c r="H44" s="84" t="str">
        <x:v>A</x:v>
      </x:c>
      <x:c r="I44" s="84" t="str">
        <x:v>Baseline</x:v>
      </x:c>
      <x:c r="J44" s="88" t="str">
        <x:v>TITLE: Mirevane Botanics Amino Acid Facial Cleanser, 120 mL
BULLET 1: made without added fragrance or sulfate surfactants.
BULLET 2: Contains glycerin, sodium cocoyl glycinate and panthenol.
BULLET 3: Removes dirt and excess oil from skin.
DESCRIPTION: Use 1–2 pumps on the wet face, massage for 30 seconds and wash with water. Package: 120 mL PET pump bottle.</x:v>
      </x:c>
      <x:c r="K44" s="85" t="str">
        <x:v>Fail</x:v>
      </x:c>
      <x:c r="L44" s="85" t="n">
        <x:v>0</x:v>
      </x:c>
      <x:c r="M44" s="85" t="n">
        <x:v>3</x:v>
      </x:c>
      <x:c r="N44" s="85" t="n">
        <x:v>3</x:v>
      </x:c>
      <x:c r="O44" s="85" t="n">
        <x:v>3</x:v>
      </x:c>
      <x:c r="P44" s="85" t="n">
        <x:v>4</x:v>
      </x:c>
      <x:c r="Q44" s="85" t="n">
        <x:v>2</x:v>
      </x:c>
      <x:c r="R44" s="85" t="n">
        <x:v>3</x:v>
      </x:c>
      <x:c r="S44" s="85" t="n">
        <x:v>2</x:v>
      </x:c>
      <x:c r="T44" s="86" t="n">
        <x:v>2.857142857142857</x:v>
      </x:c>
      <x:c r="U44" s="85" t="n">
        <x:v>4</x:v>
      </x:c>
      <x:c r="V44" s="85" t="n">
        <x:v>7</x:v>
      </x:c>
      <x:c r="W44" s="87" t="n">
        <x:v>46231</x:v>
      </x:c>
      <x:c r="X44" s="85" t="str">
        <x:v>Reviewer-01</x:v>
      </x:c>
      <x:c r="Y44" s="85" t="str">
        <x:v>Complete</x:v>
      </x:c>
      <x:c r="Z44" s="85" t="str">
        <x:v>Unsupported packaging; Platform structure</x:v>
      </x:c>
      <x:c r="AA44" s="88" t="str">
        <x:v>仅3个要点，PET瓶材质未获事实参考支持；同时需要润色用法并补全Listing结构。</x:v>
      </x:c>
      <x:c r="AB44" s="85" t="str">
        <x:v>Failure</x:v>
      </x:c>
      <x:c r="AC44" s="85" t="str">
        <x:v>6c870cf14c6b33b783bcb7fc1a8e2f19b926e541befc2a96e48ed0fc3fd006c7</x:v>
      </x:c>
    </x:row>
    <x:row r="45" ht="78" customHeight="1">
      <x:c r="A45" s="84" t="n">
        <x:v>42</x:v>
      </x:c>
      <x:c r="B45" s="84" t="str">
        <x:v>G021-B</x:v>
      </x:c>
      <x:c r="C45" s="84" t="str">
        <x:v>G021</x:v>
      </x:c>
      <x:c r="D45" s="84" t="str">
        <x:v>MV-CLEAN-001</x:v>
      </x:c>
      <x:c r="E45" s="84" t="str">
        <x:v>US</x:v>
      </x:c>
      <x:c r="F45" s="84" t="str">
        <x:v>en-US</x:v>
      </x:c>
      <x:c r="G45" s="84" t="str">
        <x:v>product_listing</x:v>
      </x:c>
      <x:c r="H45" s="84" t="str">
        <x:v>B</x:v>
      </x:c>
      <x:c r="I45" s="84" t="str">
        <x:v>LocalizeFlow</x:v>
      </x:c>
      <x:c r="J45" s="88" t="str">
        <x:v>TITLE: Mirevane Botanics Facial Cleanser, 120 mL
BULLET 1: Made without added fragrance or sulfate surfactants.
BULLET 2: Made with glycerin, sodium cocoyl glycinate and panthenol.
BULLET 3: Helps remove surface dirt and excess oil while leaving skin feeling comfortable.
BULLET 4: Massage 1–2 pumps over a wet face for about 30 seconds, rinse, and avoid the eye area.
BULLET 5: Presented in a 120 mL PET pump bottle.
DESCRIPTION: A clear, fragrance-free start to your routine. Made without added fragrance or sulfate surfactants, this cleanser helps remove surface dirt and excess oil. Massage 1–2 pumps over a wet face for about 30 seconds, rinse, and avoid the eye area.</x:v>
      </x:c>
      <x:c r="K45" s="85" t="str">
        <x:v>Fail</x:v>
      </x:c>
      <x:c r="L45" s="85" t="n">
        <x:v>0</x:v>
      </x:c>
      <x:c r="M45" s="85" t="n">
        <x:v>5</x:v>
      </x:c>
      <x:c r="N45" s="85" t="n">
        <x:v>5</x:v>
      </x:c>
      <x:c r="O45" s="85" t="n">
        <x:v>4</x:v>
      </x:c>
      <x:c r="P45" s="85" t="n">
        <x:v>4</x:v>
      </x:c>
      <x:c r="Q45" s="85" t="n">
        <x:v>4</x:v>
      </x:c>
      <x:c r="R45" s="85" t="n">
        <x:v>4</x:v>
      </x:c>
      <x:c r="S45" s="85" t="n">
        <x:v>2</x:v>
      </x:c>
      <x:c r="T45" s="86" t="n">
        <x:v>4</x:v>
      </x:c>
      <x:c r="U45" s="85" t="n">
        <x:v>2</x:v>
      </x:c>
      <x:c r="V45" s="85" t="n">
        <x:v>6</x:v>
      </x:c>
      <x:c r="W45" s="87" t="n">
        <x:v>46231</x:v>
      </x:c>
      <x:c r="X45" s="85" t="str">
        <x:v>Reviewer-01</x:v>
      </x:c>
      <x:c r="Y45" s="85" t="str">
        <x:v>Complete</x:v>
      </x:c>
      <x:c r="Z45" s="85" t="str">
        <x:v>Unsupported packaging</x:v>
      </x:c>
      <x:c r="AA45" s="88" t="str">
        <x:v>内容完整自然、利益点审慎，但PET瓶材质无事实参考依据；修正包装并补AI字段。</x:v>
      </x:c>
      <x:c r="AB45" s="85" t="str">
        <x:v>Failure</x:v>
      </x:c>
      <x:c r="AC45" s="85" t="str">
        <x:v>e6808fbcdeeb9d158f05acf27d8855c6f4d57738c3df9a5fb40e9f73e48210ec</x:v>
      </x:c>
    </x:row>
    <x:row r="46" ht="78" customHeight="1">
      <x:c r="A46" s="84" t="n">
        <x:v>43</x:v>
      </x:c>
      <x:c r="B46" s="84" t="str">
        <x:v>G022-A</x:v>
      </x:c>
      <x:c r="C46" s="84" t="str">
        <x:v>G022</x:v>
      </x:c>
      <x:c r="D46" s="84" t="str">
        <x:v>MV-SERUM-001</x:v>
      </x:c>
      <x:c r="E46" s="84" t="str">
        <x:v>MX</x:v>
      </x:c>
      <x:c r="F46" s="84" t="str">
        <x:v>es-MX</x:v>
      </x:c>
      <x:c r="G46" s="84" t="str">
        <x:v>product_listing</x:v>
      </x:c>
      <x:c r="H46" s="84" t="str">
        <x:v>A</x:v>
      </x:c>
      <x:c r="I46" s="84" t="str">
        <x:v>Baseline</x:v>
      </x:c>
      <x:c r="J46" s="88" t="str">
        <x:v>TÍTULO: Mirevane Botanics Serum humectante, 30 mL
PUNTO 1: Gel de base acuosa sin fragancia añadida.
PUNTO 2: Contiene glicerina, hialuronato de sodio y pantenol.
PUNTO 3: Hidrata y suaviza la piel.
DESCRIPCIÓN: Después de lavar, bombea 1–2 veces en cara y cuello y luego usa crema. Empaque: envase opaco de PP con bomba de 30 mL.</x:v>
      </x:c>
      <x:c r="K46" s="85" t="str">
        <x:v>Fail</x:v>
      </x:c>
      <x:c r="L46" s="85" t="n">
        <x:v>0</x:v>
      </x:c>
      <x:c r="M46" s="85" t="n">
        <x:v>3</x:v>
      </x:c>
      <x:c r="N46" s="85" t="n">
        <x:v>2</x:v>
      </x:c>
      <x:c r="O46" s="85" t="n">
        <x:v>3</x:v>
      </x:c>
      <x:c r="P46" s="85" t="n">
        <x:v>4</x:v>
      </x:c>
      <x:c r="Q46" s="85" t="n">
        <x:v>2</x:v>
      </x:c>
      <x:c r="R46" s="85" t="n">
        <x:v>3</x:v>
      </x:c>
      <x:c r="S46" s="85" t="n">
        <x:v>2</x:v>
      </x:c>
      <x:c r="T46" s="86" t="n">
        <x:v>2.7142857142857144</x:v>
      </x:c>
      <x:c r="U46" s="85" t="n">
        <x:v>4</x:v>
      </x:c>
      <x:c r="V46" s="85" t="n">
        <x:v>7</x:v>
      </x:c>
      <x:c r="W46" s="87" t="n">
        <x:v>46231</x:v>
      </x:c>
      <x:c r="X46" s="85" t="str">
        <x:v>Reviewer-01</x:v>
      </x:c>
      <x:c r="Y46" s="85" t="str">
        <x:v>Complete</x:v>
      </x:c>
      <x:c r="Z46" s="85" t="str">
        <x:v>Unsupported packaging; Language issue; Platform structure</x:v>
      </x:c>
      <x:c r="AA46" s="88" t="str">
        <x:v>仅3个要点，“bombea”等表述生硬；不透明PP瓶材质无事实依据，需结构和语言双重修改。</x:v>
      </x:c>
      <x:c r="AB46" s="85" t="str">
        <x:v>Failure</x:v>
      </x:c>
      <x:c r="AC46" s="85" t="str">
        <x:v>9665fea6ffbe3a929db811ac2e551bce8e2853514947af8d05b6cab421b73aa8</x:v>
      </x:c>
    </x:row>
    <x:row r="47" ht="78" customHeight="1">
      <x:c r="A47" s="84" t="n">
        <x:v>44</x:v>
      </x:c>
      <x:c r="B47" s="84" t="str">
        <x:v>G022-B</x:v>
      </x:c>
      <x:c r="C47" s="84" t="str">
        <x:v>G022</x:v>
      </x:c>
      <x:c r="D47" s="84" t="str">
        <x:v>MV-SERUM-001</x:v>
      </x:c>
      <x:c r="E47" s="84" t="str">
        <x:v>MX</x:v>
      </x:c>
      <x:c r="F47" s="84" t="str">
        <x:v>es-MX</x:v>
      </x:c>
      <x:c r="G47" s="84" t="str">
        <x:v>product_listing</x:v>
      </x:c>
      <x:c r="H47" s="84" t="str">
        <x:v>B</x:v>
      </x:c>
      <x:c r="I47" s="84" t="str">
        <x:v>LocalizeFlow</x:v>
      </x:c>
      <x:c r="J47" s="88" t="str">
        <x:v>TÍTULO: Mirevane Botanics Sérum hidratante, 30 mL
PUNTO 1: Gel de base acuosa sin fragancia añadida.
PUNTO 2: Formulado con glicerina, hialuronato de sodio y pantenol.
PUNTO 3: Ayuda a que la piel se sienta hidratada y suave.
PUNTO 4: Después de limpiar el rostro, aplica de 1 a 2 dosis en cara y cuello, continúa con tu crema hidratante y evita el contorno de ojos.
PUNTO 5: Presentado en envase opaco de PP con bomba de 30 mL.
DESCRIPCIÓN: Hidratación ligera antes de tu crema. Un gel de base acuosa con glicerina, hialuronato de sodio y pantenol que ayuda a que la piel se sienta hidratada. Después de limpiar el rostro, aplica de 1 a 2 dosis en cara y cuello, continúa con tu crema hidratante y evita el contorno de ojos.</x:v>
      </x:c>
      <x:c r="K47" s="85" t="str">
        <x:v>Fail</x:v>
      </x:c>
      <x:c r="L47" s="85" t="n">
        <x:v>0</x:v>
      </x:c>
      <x:c r="M47" s="85" t="n">
        <x:v>5</x:v>
      </x:c>
      <x:c r="N47" s="85" t="n">
        <x:v>5</x:v>
      </x:c>
      <x:c r="O47" s="85" t="n">
        <x:v>5</x:v>
      </x:c>
      <x:c r="P47" s="85" t="n">
        <x:v>4</x:v>
      </x:c>
      <x:c r="Q47" s="85" t="n">
        <x:v>4</x:v>
      </x:c>
      <x:c r="R47" s="85" t="n">
        <x:v>4</x:v>
      </x:c>
      <x:c r="S47" s="85" t="n">
        <x:v>2</x:v>
      </x:c>
      <x:c r="T47" s="86" t="n">
        <x:v>4.142857142857143</x:v>
      </x:c>
      <x:c r="U47" s="85" t="n">
        <x:v>2</x:v>
      </x:c>
      <x:c r="V47" s="85" t="n">
        <x:v>6</x:v>
      </x:c>
      <x:c r="W47" s="87" t="n">
        <x:v>46231</x:v>
      </x:c>
      <x:c r="X47" s="85" t="str">
        <x:v>Reviewer-01</x:v>
      </x:c>
      <x:c r="Y47" s="85" t="str">
        <x:v>Complete</x:v>
      </x:c>
      <x:c r="Z47" s="85" t="str">
        <x:v>Unsupported packaging</x:v>
      </x:c>
      <x:c r="AA47" s="88" t="str">
        <x:v>Listing结构与西语质量良好，但不透明PP泵瓶材质未获事实参考支持；需修正包装信息。</x:v>
      </x:c>
      <x:c r="AB47" s="85" t="str">
        <x:v>Failure</x:v>
      </x:c>
      <x:c r="AC47" s="85" t="str">
        <x:v>99663c2840dc153ee632db08361c922888f6a805ed79f05ac4098d12f73c7e1e</x:v>
      </x:c>
    </x:row>
    <x:row r="48" ht="78" customHeight="1">
      <x:c r="A48" s="84" t="n">
        <x:v>45</x:v>
      </x:c>
      <x:c r="B48" s="84" t="str">
        <x:v>G023-A</x:v>
      </x:c>
      <x:c r="C48" s="84" t="str">
        <x:v>G023</x:v>
      </x:c>
      <x:c r="D48" s="84" t="str">
        <x:v>MV-SERUM-001</x:v>
      </x:c>
      <x:c r="E48" s="84" t="str">
        <x:v>US</x:v>
      </x:c>
      <x:c r="F48" s="84" t="str">
        <x:v>en-US</x:v>
      </x:c>
      <x:c r="G48" s="84" t="str">
        <x:v>social_ad_copy</x:v>
      </x:c>
      <x:c r="H48" s="84" t="str">
        <x:v>A</x:v>
      </x:c>
      <x:c r="I48" s="84" t="str">
        <x:v>Baseline</x:v>
      </x:c>
      <x:c r="J48" s="88" t="str">
        <x:v>HOOK: Hydrates and softens the skin.
BODY: a water-based gel made without added fragrance. Contains glycerin, sodium hyaluronate and panthenol. After washing, pump 1–2 times on face and neck, then use cream.
CTA: Buy now.</x:v>
      </x:c>
      <x:c r="K48" s="85" t="str">
        <x:v>Pass</x:v>
      </x:c>
      <x:c r="L48" s="85" t="n">
        <x:v>1</x:v>
      </x:c>
      <x:c r="M48" s="85" t="n">
        <x:v>4</x:v>
      </x:c>
      <x:c r="N48" s="85" t="n">
        <x:v>3</x:v>
      </x:c>
      <x:c r="O48" s="85" t="n">
        <x:v>3</x:v>
      </x:c>
      <x:c r="P48" s="85" t="n">
        <x:v>4</x:v>
      </x:c>
      <x:c r="Q48" s="85" t="n">
        <x:v>3</x:v>
      </x:c>
      <x:c r="R48" s="85" t="n">
        <x:v>3</x:v>
      </x:c>
      <x:c r="S48" s="85" t="n">
        <x:v>3</x:v>
      </x:c>
      <x:c r="T48" s="86" t="n">
        <x:v>3.2857142857142856</x:v>
      </x:c>
      <x:c r="U48" s="85" t="n">
        <x:v>3</x:v>
      </x:c>
      <x:c r="V48" s="85" t="n">
        <x:v>5</x:v>
      </x:c>
      <x:c r="W48" s="87" t="n">
        <x:v>46231</x:v>
      </x:c>
      <x:c r="X48" s="85" t="str">
        <x:v>Reviewer-01</x:v>
      </x:c>
      <x:c r="Y48" s="85" t="str">
        <x:v>Complete</x:v>
      </x:c>
      <x:c r="Z48" s="85" t="str">
        <x:v>None</x:v>
      </x:c>
      <x:c r="AA48" s="88" t="str">
        <x:v>主要事实准确，但句首小写和“pump…on face”不够自然，利益点较泛；需语言和平台信息润色。</x:v>
      </x:c>
      <x:c r="AB48" s="85" t="str">
        <x:v>Reviewed</x:v>
      </x:c>
      <x:c r="AC48" s="85" t="str">
        <x:v>f2dfbd4d106c9a0ecbe35e90a0cacd4e224293d3099943d519f3176b25db242d</x:v>
      </x:c>
    </x:row>
    <x:row r="49" ht="78" customHeight="1">
      <x:c r="A49" s="84" t="n">
        <x:v>46</x:v>
      </x:c>
      <x:c r="B49" s="84" t="str">
        <x:v>G023-B</x:v>
      </x:c>
      <x:c r="C49" s="84" t="str">
        <x:v>G023</x:v>
      </x:c>
      <x:c r="D49" s="84" t="str">
        <x:v>MV-SERUM-001</x:v>
      </x:c>
      <x:c r="E49" s="84" t="str">
        <x:v>US</x:v>
      </x:c>
      <x:c r="F49" s="84" t="str">
        <x:v>en-US</x:v>
      </x:c>
      <x:c r="G49" s="84" t="str">
        <x:v>social_ad_copy</x:v>
      </x:c>
      <x:c r="H49" s="84" t="str">
        <x:v>B</x:v>
      </x:c>
      <x:c r="I49" s="84" t="str">
        <x:v>LocalizeFlow</x:v>
      </x:c>
      <x:c r="J49" s="88" t="str">
        <x:v>HOOK: Light hydration before moisturizer.
BODY: A water-based gel with glycerin, sodium hyaluronate and panthenol that helps skin feel hydrated. Apply 1–2 pumps to the face and neck after cleansing, follow with moisturizer, and avoid the eye area.
CTA: See product details.</x:v>
      </x:c>
      <x:c r="K49" s="85" t="str">
        <x:v>Pass</x:v>
      </x:c>
      <x:c r="L49" s="85" t="n">
        <x:v>1</x:v>
      </x:c>
      <x:c r="M49" s="85" t="n">
        <x:v>4</x:v>
      </x:c>
      <x:c r="N49" s="85" t="n">
        <x:v>5</x:v>
      </x:c>
      <x:c r="O49" s="85" t="n">
        <x:v>4</x:v>
      </x:c>
      <x:c r="P49" s="85" t="n">
        <x:v>5</x:v>
      </x:c>
      <x:c r="Q49" s="85" t="n">
        <x:v>4</x:v>
      </x:c>
      <x:c r="R49" s="85" t="n">
        <x:v>4</x:v>
      </x:c>
      <x:c r="S49" s="85" t="n">
        <x:v>4</x:v>
      </x:c>
      <x:c r="T49" s="86" t="n">
        <x:v>4.285714285714286</x:v>
      </x:c>
      <x:c r="U49" s="85" t="n">
        <x:v>1</x:v>
      </x:c>
      <x:c r="V49" s="85" t="n">
        <x:v>4</x:v>
      </x:c>
      <x:c r="W49" s="87" t="n">
        <x:v>46231</x:v>
      </x:c>
      <x:c r="X49" s="85" t="str">
        <x:v>Reviewer-01</x:v>
      </x:c>
      <x:c r="Y49" s="85" t="str">
        <x:v>Complete</x:v>
      </x:c>
      <x:c r="Z49" s="85" t="str">
        <x:v>None</x:v>
      </x:c>
      <x:c r="AA49" s="88" t="str">
        <x:v>补水定位、成分与用法清晰自然，CTA克制；补充AI使用状态即可。</x:v>
      </x:c>
      <x:c r="AB49" s="85" t="str">
        <x:v>Reviewed</x:v>
      </x:c>
      <x:c r="AC49" s="85" t="str">
        <x:v>88555d5fcceb74656d730fe59e70b38aaca4cbe59b34cb4a4047bcf14411d4a0</x:v>
      </x:c>
    </x:row>
    <x:row r="50" ht="78" customHeight="1">
      <x:c r="A50" s="84" t="n">
        <x:v>47</x:v>
      </x:c>
      <x:c r="B50" s="84" t="str">
        <x:v>G024-A</x:v>
      </x:c>
      <x:c r="C50" s="84" t="str">
        <x:v>G024</x:v>
      </x:c>
      <x:c r="D50" s="84" t="str">
        <x:v>MV-CREAM-001</x:v>
      </x:c>
      <x:c r="E50" s="84" t="str">
        <x:v>US</x:v>
      </x:c>
      <x:c r="F50" s="84" t="str">
        <x:v>en-US</x:v>
      </x:c>
      <x:c r="G50" s="84" t="str">
        <x:v>social_ad_copy</x:v>
      </x:c>
      <x:c r="H50" s="84" t="str">
        <x:v>A</x:v>
      </x:c>
      <x:c r="I50" s="84" t="str">
        <x:v>Baseline</x:v>
      </x:c>
      <x:c r="J50" s="88" t="str">
        <x:v>HOOK: Moisturizes dry skin.
BODY: a cream texture made without added fragrance. Contains glycerin, squalane, panthenol and beta-glucan. Put a suitable amount on clean face and neck and use sunscreen in daytime.
CTA: Buy now.</x:v>
      </x:c>
      <x:c r="K50" s="85" t="str">
        <x:v>Pass</x:v>
      </x:c>
      <x:c r="L50" s="85" t="n">
        <x:v>1</x:v>
      </x:c>
      <x:c r="M50" s="85" t="n">
        <x:v>4</x:v>
      </x:c>
      <x:c r="N50" s="85" t="n">
        <x:v>3</x:v>
      </x:c>
      <x:c r="O50" s="85" t="n">
        <x:v>3</x:v>
      </x:c>
      <x:c r="P50" s="85" t="n">
        <x:v>4</x:v>
      </x:c>
      <x:c r="Q50" s="85" t="n">
        <x:v>3</x:v>
      </x:c>
      <x:c r="R50" s="85" t="n">
        <x:v>3</x:v>
      </x:c>
      <x:c r="S50" s="85" t="n">
        <x:v>3</x:v>
      </x:c>
      <x:c r="T50" s="86" t="n">
        <x:v>3.2857142857142856</x:v>
      </x:c>
      <x:c r="U50" s="85" t="n">
        <x:v>3</x:v>
      </x:c>
      <x:c r="V50" s="85" t="n">
        <x:v>5</x:v>
      </x:c>
      <x:c r="W50" s="87" t="n">
        <x:v>46231</x:v>
      </x:c>
      <x:c r="X50" s="85" t="str">
        <x:v>Reviewer-01</x:v>
      </x:c>
      <x:c r="Y50" s="85" t="str">
        <x:v>Complete</x:v>
      </x:c>
      <x:c r="Z50" s="85" t="str">
        <x:v>None</x:v>
      </x:c>
      <x:c r="AA50" s="88" t="str">
        <x:v>事实准确，但句首小写及“Put a suitable amount”较生硬，卖点不够具体；建议润色。</x:v>
      </x:c>
      <x:c r="AB50" s="85" t="str">
        <x:v>Reviewed</x:v>
      </x:c>
      <x:c r="AC50" s="85" t="str">
        <x:v>637c23e4a3da2c300305091e03735882d1db249b998405edb6140888109c6c24</x:v>
      </x:c>
    </x:row>
    <x:row r="51" ht="78" customHeight="1">
      <x:c r="A51" s="84" t="n">
        <x:v>48</x:v>
      </x:c>
      <x:c r="B51" s="84" t="str">
        <x:v>G024-B</x:v>
      </x:c>
      <x:c r="C51" s="84" t="str">
        <x:v>G024</x:v>
      </x:c>
      <x:c r="D51" s="84" t="str">
        <x:v>MV-CREAM-001</x:v>
      </x:c>
      <x:c r="E51" s="84" t="str">
        <x:v>US</x:v>
      </x:c>
      <x:c r="F51" s="84" t="str">
        <x:v>en-US</x:v>
      </x:c>
      <x:c r="G51" s="84" t="str">
        <x:v>social_ad_copy</x:v>
      </x:c>
      <x:c r="H51" s="84" t="str">
        <x:v>B</x:v>
      </x:c>
      <x:c r="I51" s="84" t="str">
        <x:v>LocalizeFlow</x:v>
      </x:c>
      <x:c r="J51" s="88" t="str">
        <x:v>HOOK: A fragrance-free moisturizing step.
BODY: Made with squalane, panthenol and beta-glucan to help skin feel soft and moisturized. Apply to a clean face and neck; follow with sunscreen during the day.
CTA: See product details.</x:v>
      </x:c>
      <x:c r="K51" s="85" t="str">
        <x:v>Pass</x:v>
      </x:c>
      <x:c r="L51" s="85" t="n">
        <x:v>1</x:v>
      </x:c>
      <x:c r="M51" s="85" t="n">
        <x:v>4</x:v>
      </x:c>
      <x:c r="N51" s="85" t="n">
        <x:v>5</x:v>
      </x:c>
      <x:c r="O51" s="85" t="n">
        <x:v>4</x:v>
      </x:c>
      <x:c r="P51" s="85" t="n">
        <x:v>5</x:v>
      </x:c>
      <x:c r="Q51" s="85" t="n">
        <x:v>4</x:v>
      </x:c>
      <x:c r="R51" s="85" t="n">
        <x:v>4</x:v>
      </x:c>
      <x:c r="S51" s="85" t="n">
        <x:v>4</x:v>
      </x:c>
      <x:c r="T51" s="86" t="n">
        <x:v>4.285714285714286</x:v>
      </x:c>
      <x:c r="U51" s="85" t="n">
        <x:v>1</x:v>
      </x:c>
      <x:c r="V51" s="85" t="n">
        <x:v>4</x:v>
      </x:c>
      <x:c r="W51" s="87" t="n">
        <x:v>46231</x:v>
      </x:c>
      <x:c r="X51" s="85" t="str">
        <x:v>Reviewer-01</x:v>
      </x:c>
      <x:c r="Y51" s="85" t="str">
        <x:v>Complete</x:v>
      </x:c>
      <x:c r="Z51" s="85" t="str">
        <x:v>None</x:v>
      </x:c>
      <x:c r="AA51" s="88" t="str">
        <x:v>功效限定、关键成分和防晒步骤衔接自然，CTA适度；补充平台元数据即可。</x:v>
      </x:c>
      <x:c r="AB51" s="85" t="str">
        <x:v>Reviewed</x:v>
      </x:c>
      <x:c r="AC51" s="85" t="str">
        <x:v>3a59c95c0f653868b0866521b5bd10ff90061ed76f464156ec3ba749cd1a638a</x:v>
      </x:c>
    </x:row>
    <x:row r="52" ht="78" customHeight="1">
      <x:c r="A52" s="84" t="n">
        <x:v>49</x:v>
      </x:c>
      <x:c r="B52" s="84" t="str">
        <x:v>G025-A</x:v>
      </x:c>
      <x:c r="C52" s="84" t="str">
        <x:v>G025</x:v>
      </x:c>
      <x:c r="D52" s="84" t="str">
        <x:v>MV-HAND-001</x:v>
      </x:c>
      <x:c r="E52" s="84" t="str">
        <x:v>MX</x:v>
      </x:c>
      <x:c r="F52" s="84" t="str">
        <x:v>es-MX</x:v>
      </x:c>
      <x:c r="G52" s="84" t="str">
        <x:v>social_ad_copy</x:v>
      </x:c>
      <x:c r="H52" s="84" t="str">
        <x:v>A</x:v>
      </x:c>
      <x:c r="I52" s="84" t="str">
        <x:v>Baseline</x:v>
      </x:c>
      <x:c r="J52" s="88" t="str">
        <x:v>GANCHO: Repara las manos secas después de lavarlas.
TEXTO: Sin fragancia añadida y en tubo de aluminio. Contiene glicerina, manteca de karité, pantenol y alantoína. Aplica en manos y bordes de uñas repetidamente cuando sea necesario.
CTA: Compra ahora.</x:v>
      </x:c>
      <x:c r="K52" s="85" t="str">
        <x:v>Fail</x:v>
      </x:c>
      <x:c r="L52" s="85" t="n">
        <x:v>0</x:v>
      </x:c>
      <x:c r="M52" s="85" t="n">
        <x:v>4</x:v>
      </x:c>
      <x:c r="N52" s="85" t="n">
        <x:v>3</x:v>
      </x:c>
      <x:c r="O52" s="85" t="n">
        <x:v>3</x:v>
      </x:c>
      <x:c r="P52" s="85" t="n">
        <x:v>1</x:v>
      </x:c>
      <x:c r="Q52" s="85" t="n">
        <x:v>3</x:v>
      </x:c>
      <x:c r="R52" s="85" t="n">
        <x:v>2</x:v>
      </x:c>
      <x:c r="S52" s="85" t="n">
        <x:v>2</x:v>
      </x:c>
      <x:c r="T52" s="86" t="n">
        <x:v>2.5714285714285716</x:v>
      </x:c>
      <x:c r="U52" s="85" t="n">
        <x:v>4</x:v>
      </x:c>
      <x:c r="V52" s="85" t="n">
        <x:v>7</x:v>
      </x:c>
      <x:c r="W52" s="87" t="n">
        <x:v>46231</x:v>
      </x:c>
      <x:c r="X52" s="85" t="str">
        <x:v>Reviewer-01</x:v>
      </x:c>
      <x:c r="Y52" s="85" t="str">
        <x:v>Complete</x:v>
      </x:c>
      <x:c r="Z52" s="85" t="str">
        <x:v>Prohibited claim; Packaging mismatch</x:v>
      </x:c>
      <x:c r="AA52" s="88" t="str">
        <x:v>“Repara las manos secas”越界，铝管材质也与事实参考不一致；需重写功效并修正包装。</x:v>
      </x:c>
      <x:c r="AB52" s="85" t="str">
        <x:v>Failure</x:v>
      </x:c>
      <x:c r="AC52" s="85" t="str">
        <x:v>0e9ff63fa77ba055ec9cd0a553fe62750a1e079747d3cf6d0ad96d6b84f168a4</x:v>
      </x:c>
    </x:row>
    <x:row r="53" ht="78" customHeight="1">
      <x:c r="A53" s="84" t="n">
        <x:v>50</x:v>
      </x:c>
      <x:c r="B53" s="84" t="str">
        <x:v>G025-B</x:v>
      </x:c>
      <x:c r="C53" s="84" t="str">
        <x:v>G025</x:v>
      </x:c>
      <x:c r="D53" s="84" t="str">
        <x:v>MV-HAND-001</x:v>
      </x:c>
      <x:c r="E53" s="84" t="str">
        <x:v>MX</x:v>
      </x:c>
      <x:c r="F53" s="84" t="str">
        <x:v>es-MX</x:v>
      </x:c>
      <x:c r="G53" s="84" t="str">
        <x:v>social_ad_copy</x:v>
      </x:c>
      <x:c r="H53" s="84" t="str">
        <x:v>B</x:v>
      </x:c>
      <x:c r="I53" s="84" t="str">
        <x:v>LocalizeFlow</x:v>
      </x:c>
      <x:c r="J53" s="88" t="str">
        <x:v>GANCHO: Un paso sencillo para las manos después del lavado.
TEXTO: Con glicerina, manteca de karité, pantenol y alantoína para ayudar a que las manos se sientan suaves e hidratadas. Masajea las manos y el contorno de las uñas según sea necesario; solo para uso externo.
CTA: Consulta los detalles.</x:v>
      </x:c>
      <x:c r="K53" s="85" t="str">
        <x:v>Pass</x:v>
      </x:c>
      <x:c r="L53" s="85" t="n">
        <x:v>1</x:v>
      </x:c>
      <x:c r="M53" s="85" t="n">
        <x:v>4</x:v>
      </x:c>
      <x:c r="N53" s="85" t="n">
        <x:v>5</x:v>
      </x:c>
      <x:c r="O53" s="85" t="n">
        <x:v>5</x:v>
      </x:c>
      <x:c r="P53" s="85" t="n">
        <x:v>5</x:v>
      </x:c>
      <x:c r="Q53" s="85" t="n">
        <x:v>4</x:v>
      </x:c>
      <x:c r="R53" s="85" t="n">
        <x:v>4</x:v>
      </x:c>
      <x:c r="S53" s="85" t="n">
        <x:v>4</x:v>
      </x:c>
      <x:c r="T53" s="86" t="n">
        <x:v>4.428571428571429</x:v>
      </x:c>
      <x:c r="U53" s="85" t="n">
        <x:v>1</x:v>
      </x:c>
      <x:c r="V53" s="85" t="n">
        <x:v>4</x:v>
      </x:c>
      <x:c r="W53" s="87" t="n">
        <x:v>46231</x:v>
      </x:c>
      <x:c r="X53" s="85" t="str">
        <x:v>Reviewer-01</x:v>
      </x:c>
      <x:c r="Y53" s="85" t="str">
        <x:v>Complete</x:v>
      </x:c>
      <x:c r="Z53" s="85" t="str">
        <x:v>None</x:v>
      </x:c>
      <x:c r="AA53" s="88" t="str">
        <x:v>墨西哥西语自然，成分、感受型利益点和用法准确；补充平台与AI使用状态。</x:v>
      </x:c>
      <x:c r="AB53" s="85" t="str">
        <x:v>Reviewed</x:v>
      </x:c>
      <x:c r="AC53" s="85" t="str">
        <x:v>b243250e1d63f2b3d645bb911b76b51cfb0014f950159f2d562b6eef3b911c3e</x:v>
      </x:c>
    </x:row>
    <x:row r="54" ht="78" customHeight="1">
      <x:c r="A54" s="84" t="n">
        <x:v>51</x:v>
      </x:c>
      <x:c r="B54" s="84" t="str">
        <x:v>G026-A</x:v>
      </x:c>
      <x:c r="C54" s="84" t="str">
        <x:v>G026</x:v>
      </x:c>
      <x:c r="D54" s="84" t="str">
        <x:v>MV-CLEAN-001</x:v>
      </x:c>
      <x:c r="E54" s="84" t="str">
        <x:v>US</x:v>
      </x:c>
      <x:c r="F54" s="84" t="str">
        <x:v>en-US</x:v>
      </x:c>
      <x:c r="G54" s="84" t="str">
        <x:v>social_ad_copy</x:v>
      </x:c>
      <x:c r="H54" s="84" t="str">
        <x:v>A</x:v>
      </x:c>
      <x:c r="I54" s="84" t="str">
        <x:v>LocalizeFlow</x:v>
      </x:c>
      <x:c r="J54" s="88" t="str">
        <x:v>HOOK: A clear, fragrance-free start to your routine.
BODY: Made without added fragrance or sulfate surfactants, this cleanser helps remove surface dirt and excess oil. Massage 1–2 pumps over a wet face for about 30 seconds, rinse, and avoid the eye area.
CTA: See product details.</x:v>
      </x:c>
      <x:c r="K54" s="85" t="str">
        <x:v>Pass</x:v>
      </x:c>
      <x:c r="L54" s="85" t="n">
        <x:v>1</x:v>
      </x:c>
      <x:c r="M54" s="85" t="n">
        <x:v>4</x:v>
      </x:c>
      <x:c r="N54" s="85" t="n">
        <x:v>5</x:v>
      </x:c>
      <x:c r="O54" s="85" t="n">
        <x:v>4</x:v>
      </x:c>
      <x:c r="P54" s="85" t="n">
        <x:v>5</x:v>
      </x:c>
      <x:c r="Q54" s="85" t="n">
        <x:v>4</x:v>
      </x:c>
      <x:c r="R54" s="85" t="n">
        <x:v>4</x:v>
      </x:c>
      <x:c r="S54" s="85" t="n">
        <x:v>4</x:v>
      </x:c>
      <x:c r="T54" s="86" t="n">
        <x:v>4.285714285714286</x:v>
      </x:c>
      <x:c r="U54" s="85" t="n">
        <x:v>1</x:v>
      </x:c>
      <x:c r="V54" s="85" t="n">
        <x:v>4</x:v>
      </x:c>
      <x:c r="W54" s="87" t="n">
        <x:v>46231</x:v>
      </x:c>
      <x:c r="X54" s="85" t="str">
        <x:v>Reviewer-01</x:v>
      </x:c>
      <x:c r="Y54" s="85" t="str">
        <x:v>Complete</x:v>
      </x:c>
      <x:c r="Z54" s="85" t="str">
        <x:v>None</x:v>
      </x:c>
      <x:c r="AA54" s="88" t="str">
        <x:v>清洁利益点和使用说明准确完整，语气可信；发布前补充平台和AI状态。</x:v>
      </x:c>
      <x:c r="AB54" s="85" t="str">
        <x:v>Reviewed</x:v>
      </x:c>
      <x:c r="AC54" s="85" t="str">
        <x:v>46d353cf1cb84868941384050fd1a8d9832d36e2bdecac9c86404404babf9a02</x:v>
      </x:c>
    </x:row>
    <x:row r="55" ht="78" customHeight="1">
      <x:c r="A55" s="84" t="n">
        <x:v>52</x:v>
      </x:c>
      <x:c r="B55" s="84" t="str">
        <x:v>G026-B</x:v>
      </x:c>
      <x:c r="C55" s="84" t="str">
        <x:v>G026</x:v>
      </x:c>
      <x:c r="D55" s="84" t="str">
        <x:v>MV-CLEAN-001</x:v>
      </x:c>
      <x:c r="E55" s="84" t="str">
        <x:v>US</x:v>
      </x:c>
      <x:c r="F55" s="84" t="str">
        <x:v>en-US</x:v>
      </x:c>
      <x:c r="G55" s="84" t="str">
        <x:v>social_ad_copy</x:v>
      </x:c>
      <x:c r="H55" s="84" t="str">
        <x:v>B</x:v>
      </x:c>
      <x:c r="I55" s="84" t="str">
        <x:v>Baseline</x:v>
      </x:c>
      <x:c r="J55" s="88" t="str">
        <x:v>HOOK: Removes dirt and excess oil from skin.
BODY: made without added fragrance or sulfate surfactants. Contains glycerin, sodium cocoyl glycinate and panthenol. Use 1–2 pumps on the wet face, massage for 30 seconds and wash with water.
CTA: Buy now.</x:v>
      </x:c>
      <x:c r="K55" s="85" t="str">
        <x:v>Pass</x:v>
      </x:c>
      <x:c r="L55" s="85" t="n">
        <x:v>1</x:v>
      </x:c>
      <x:c r="M55" s="85" t="n">
        <x:v>4</x:v>
      </x:c>
      <x:c r="N55" s="85" t="n">
        <x:v>3</x:v>
      </x:c>
      <x:c r="O55" s="85" t="n">
        <x:v>3</x:v>
      </x:c>
      <x:c r="P55" s="85" t="n">
        <x:v>4</x:v>
      </x:c>
      <x:c r="Q55" s="85" t="n">
        <x:v>3</x:v>
      </x:c>
      <x:c r="R55" s="85" t="n">
        <x:v>3</x:v>
      </x:c>
      <x:c r="S55" s="85" t="n">
        <x:v>3</x:v>
      </x:c>
      <x:c r="T55" s="86" t="n">
        <x:v>3.2857142857142856</x:v>
      </x:c>
      <x:c r="U55" s="85" t="n">
        <x:v>3</x:v>
      </x:c>
      <x:c r="V55" s="85" t="n">
        <x:v>5</x:v>
      </x:c>
      <x:c r="W55" s="87" t="n">
        <x:v>46231</x:v>
      </x:c>
      <x:c r="X55" s="85" t="str">
        <x:v>Reviewer-01</x:v>
      </x:c>
      <x:c r="Y55" s="85" t="str">
        <x:v>Complete</x:v>
      </x:c>
      <x:c r="Z55" s="85" t="str">
        <x:v>None</x:v>
      </x:c>
      <x:c r="AA55" s="88" t="str">
        <x:v>事实准确但语言较模板化，句首小写且用法不够自然；建议润色并补平台元数据。</x:v>
      </x:c>
      <x:c r="AB55" s="85" t="str">
        <x:v>Reviewed</x:v>
      </x:c>
      <x:c r="AC55" s="85" t="str">
        <x:v>237b68f7306cb476849f8bc91ba03d88444b8db542ead3e91dae21599b9b534e</x:v>
      </x:c>
    </x:row>
    <x:row r="56" ht="78" customHeight="1">
      <x:c r="A56" s="84" t="n">
        <x:v>53</x:v>
      </x:c>
      <x:c r="B56" s="84" t="str">
        <x:v>G027-A</x:v>
      </x:c>
      <x:c r="C56" s="84" t="str">
        <x:v>G027</x:v>
      </x:c>
      <x:c r="D56" s="84" t="str">
        <x:v>MV-HAND-001</x:v>
      </x:c>
      <x:c r="E56" s="84" t="str">
        <x:v>MX</x:v>
      </x:c>
      <x:c r="F56" s="84" t="str">
        <x:v>es-MX</x:v>
      </x:c>
      <x:c r="G56" s="84" t="str">
        <x:v>product_listing</x:v>
      </x:c>
      <x:c r="H56" s="84" t="str">
        <x:v>A</x:v>
      </x:c>
      <x:c r="I56" s="84" t="str">
        <x:v>LocalizeFlow</x:v>
      </x:c>
      <x:c r="J56" s="88" t="str">
        <x:v>TÍTULO: Mirevane Botanics Crema para manos sin fragancia añadida, 60 mL
PUNTO 1: Sin fragancia añadida y en tubo de aluminio.
PUNTO 2: Formulado con glicerina, manteca de karité, pantenol y alantoína.
PUNTO 3: Ayuda a que las manos se sientan suaves e hidratadas después del lavado diario.
PUNTO 4: Masajea las manos y el contorno de las uñas según sea necesario; solo para uso externo.
PUNTO 5: Presentado en tubo de aluminio de 60 mL con tapa de PP.
DESCRIPCIÓN: Un paso sencillo para las manos después del lavado. Con glicerina, manteca de karité, pantenol y alantoína para ayudar a que las manos se sientan suaves e hidratadas. Masajea las manos y el contorno de las uñas según sea necesario; solo para uso externo.</x:v>
      </x:c>
      <x:c r="K56" s="85" t="str">
        <x:v>Fail</x:v>
      </x:c>
      <x:c r="L56" s="85" t="n">
        <x:v>0</x:v>
      </x:c>
      <x:c r="M56" s="85" t="n">
        <x:v>5</x:v>
      </x:c>
      <x:c r="N56" s="85" t="n">
        <x:v>5</x:v>
      </x:c>
      <x:c r="O56" s="85" t="n">
        <x:v>5</x:v>
      </x:c>
      <x:c r="P56" s="85" t="n">
        <x:v>4</x:v>
      </x:c>
      <x:c r="Q56" s="85" t="n">
        <x:v>4</x:v>
      </x:c>
      <x:c r="R56" s="85" t="n">
        <x:v>4</x:v>
      </x:c>
      <x:c r="S56" s="85" t="n">
        <x:v>2</x:v>
      </x:c>
      <x:c r="T56" s="86" t="n">
        <x:v>4.142857142857143</x:v>
      </x:c>
      <x:c r="U56" s="85" t="n">
        <x:v>2</x:v>
      </x:c>
      <x:c r="V56" s="85" t="n">
        <x:v>6</x:v>
      </x:c>
      <x:c r="W56" s="87" t="n">
        <x:v>46231</x:v>
      </x:c>
      <x:c r="X56" s="85" t="str">
        <x:v>Reviewer-01</x:v>
      </x:c>
      <x:c r="Y56" s="85" t="str">
        <x:v>Complete</x:v>
      </x:c>
      <x:c r="Z56" s="85" t="str">
        <x:v>Packaging mismatch</x:v>
      </x:c>
      <x:c r="AA56" s="88" t="str">
        <x:v>Listing结构和西语表现优秀，但铝管及PP盖材质与事实参考的软管描述不一致；需修正。</x:v>
      </x:c>
      <x:c r="AB56" s="85" t="str">
        <x:v>Failure</x:v>
      </x:c>
      <x:c r="AC56" s="85" t="str">
        <x:v>f74fd00107137ec62640890b5846a2716bb1e01b4a73570ed43aa0e7960bfa47</x:v>
      </x:c>
    </x:row>
    <x:row r="57" ht="78" customHeight="1">
      <x:c r="A57" s="84" t="n">
        <x:v>54</x:v>
      </x:c>
      <x:c r="B57" s="84" t="str">
        <x:v>G027-B</x:v>
      </x:c>
      <x:c r="C57" s="84" t="str">
        <x:v>G027</x:v>
      </x:c>
      <x:c r="D57" s="84" t="str">
        <x:v>MV-HAND-001</x:v>
      </x:c>
      <x:c r="E57" s="84" t="str">
        <x:v>MX</x:v>
      </x:c>
      <x:c r="F57" s="84" t="str">
        <x:v>es-MX</x:v>
      </x:c>
      <x:c r="G57" s="84" t="str">
        <x:v>product_listing</x:v>
      </x:c>
      <x:c r="H57" s="84" t="str">
        <x:v>B</x:v>
      </x:c>
      <x:c r="I57" s="84" t="str">
        <x:v>Baseline</x:v>
      </x:c>
      <x:c r="J57" s="88" t="str">
        <x:v>TÍTULO: Mirevane Botanics Crema humectante de mano, 60 mL
PUNTO 1: Sin fragancia añadida y en tubo de aluminio.
PUNTO 2: Contiene glicerina, manteca de karité, pantenol y alantoína.
PUNTO 3: Repara las manos secas después de lavarlas.
DESCRIPCIÓN: Aplica en manos y bordes de uñas repetidamente cuando sea necesario. Empaque: tubo de aluminio de 60 mL con tapa de PP.</x:v>
      </x:c>
      <x:c r="K57" s="85" t="str">
        <x:v>Fail</x:v>
      </x:c>
      <x:c r="L57" s="85" t="n">
        <x:v>0</x:v>
      </x:c>
      <x:c r="M57" s="85" t="n">
        <x:v>3</x:v>
      </x:c>
      <x:c r="N57" s="85" t="n">
        <x:v>2</x:v>
      </x:c>
      <x:c r="O57" s="85" t="n">
        <x:v>2</x:v>
      </x:c>
      <x:c r="P57" s="85" t="n">
        <x:v>1</x:v>
      </x:c>
      <x:c r="Q57" s="85" t="n">
        <x:v>2</x:v>
      </x:c>
      <x:c r="R57" s="85" t="n">
        <x:v>2</x:v>
      </x:c>
      <x:c r="S57" s="85" t="n">
        <x:v>1</x:v>
      </x:c>
      <x:c r="T57" s="86" t="n">
        <x:v>1.8571428571428572</x:v>
      </x:c>
      <x:c r="U57" s="85" t="n">
        <x:v>5</x:v>
      </x:c>
      <x:c r="V57" s="85" t="n">
        <x:v>8</x:v>
      </x:c>
      <x:c r="W57" s="87" t="n">
        <x:v>46231</x:v>
      </x:c>
      <x:c r="X57" s="85" t="str">
        <x:v>Reviewer-01</x:v>
      </x:c>
      <x:c r="Y57" s="85" t="str">
        <x:v>Complete</x:v>
      </x:c>
      <x:c r="Z57" s="85" t="str">
        <x:v>Prohibited claim; Packaging mismatch; Platform structure</x:v>
      </x:c>
      <x:c r="AA57" s="88" t="str">
        <x:v>仅3个要点，西语搭配生硬；同时存在“Repara”越界功效和不一致包装材质，需要重写。</x:v>
      </x:c>
      <x:c r="AB57" s="85" t="str">
        <x:v>Failure</x:v>
      </x:c>
      <x:c r="AC57" s="85" t="str">
        <x:v>c5a41afa674d0e2be69a45eb567a319aa3a83938bd2901c5abb8d840225b0369</x:v>
      </x:c>
    </x:row>
    <x:row r="58" ht="78" customHeight="1">
      <x:c r="A58" s="84" t="n">
        <x:v>55</x:v>
      </x:c>
      <x:c r="B58" s="84" t="str">
        <x:v>G028-A</x:v>
      </x:c>
      <x:c r="C58" s="84" t="str">
        <x:v>G028</x:v>
      </x:c>
      <x:c r="D58" s="84" t="str">
        <x:v>MV-SERUM-001</x:v>
      </x:c>
      <x:c r="E58" s="84" t="str">
        <x:v>MX</x:v>
      </x:c>
      <x:c r="F58" s="84" t="str">
        <x:v>es-MX</x:v>
      </x:c>
      <x:c r="G58" s="84" t="str">
        <x:v>short_video_script</x:v>
      </x:c>
      <x:c r="H58" s="84" t="str">
        <x:v>A</x:v>
      </x:c>
      <x:c r="I58" s="84" t="str">
        <x:v>LocalizeFlow</x:v>
      </x:c>
      <x:c r="J58" s="88" t="str">
        <x:v>00:00–00:03 GANCHO — Visual: Producto en una rutina sencilla. Voz: Hidratación ligera antes de tu crema.
00:03–00:08 CARACTERÍSTICA — Visual: Textura y envase. Voz: Gel de base acuosa sin fragancia añadida.
00:08–00:13 USO + EXPERIENCIA — Visual: Demostración de uso. Voz: Ayuda a que la piel se sienta hidratada y suave. Después de limpiar el rostro, aplica de 1 a 2 dosis en cara y cuello, continúa con tu crema hidratante y evita el contorno de ojos.
00:13–00:15 CTA — Texto en pantalla: Consulta los detalles.
TEXTO: Un gel de base acuosa con glicerina, hialuronato de sodio y pantenol que ayuda a que la piel se sienta hidratada.</x:v>
      </x:c>
      <x:c r="K58" s="85" t="str">
        <x:v>Pass</x:v>
      </x:c>
      <x:c r="L58" s="85" t="n">
        <x:v>1</x:v>
      </x:c>
      <x:c r="M58" s="85" t="n">
        <x:v>4</x:v>
      </x:c>
      <x:c r="N58" s="85" t="n">
        <x:v>5</x:v>
      </x:c>
      <x:c r="O58" s="85" t="n">
        <x:v>5</x:v>
      </x:c>
      <x:c r="P58" s="85" t="n">
        <x:v>5</x:v>
      </x:c>
      <x:c r="Q58" s="85" t="n">
        <x:v>4</x:v>
      </x:c>
      <x:c r="R58" s="85" t="n">
        <x:v>4</x:v>
      </x:c>
      <x:c r="S58" s="85" t="n">
        <x:v>4</x:v>
      </x:c>
      <x:c r="T58" s="86" t="n">
        <x:v>4.428571428571429</x:v>
      </x:c>
      <x:c r="U58" s="85" t="n">
        <x:v>1</x:v>
      </x:c>
      <x:c r="V58" s="85" t="n">
        <x:v>4</x:v>
      </x:c>
      <x:c r="W58" s="87" t="n">
        <x:v>46231</x:v>
      </x:c>
      <x:c r="X58" s="85" t="str">
        <x:v>Reviewer-01</x:v>
      </x:c>
      <x:c r="Y58" s="85" t="str">
        <x:v>Complete</x:v>
      </x:c>
      <x:c r="Z58" s="85" t="str">
        <x:v>None</x:v>
      </x:c>
      <x:c r="AA58" s="88" t="str">
        <x:v>脚本语言自然，成分、利益点与用法完整，适合墨西哥市场；仅需补充AIGC标识。</x:v>
      </x:c>
      <x:c r="AB58" s="85" t="str">
        <x:v>Reviewed</x:v>
      </x:c>
      <x:c r="AC58" s="85" t="str">
        <x:v>a3dd131104d644fd3dd83c515b2a77c29dfa28e98639fd4fa1334de7299d766f</x:v>
      </x:c>
    </x:row>
    <x:row r="59" ht="78" customHeight="1">
      <x:c r="A59" s="84" t="n">
        <x:v>56</x:v>
      </x:c>
      <x:c r="B59" s="84" t="str">
        <x:v>G028-B</x:v>
      </x:c>
      <x:c r="C59" s="84" t="str">
        <x:v>G028</x:v>
      </x:c>
      <x:c r="D59" s="84" t="str">
        <x:v>MV-SERUM-001</x:v>
      </x:c>
      <x:c r="E59" s="84" t="str">
        <x:v>MX</x:v>
      </x:c>
      <x:c r="F59" s="84" t="str">
        <x:v>es-MX</x:v>
      </x:c>
      <x:c r="G59" s="84" t="str">
        <x:v>short_video_script</x:v>
      </x:c>
      <x:c r="H59" s="84" t="str">
        <x:v>B</x:v>
      </x:c>
      <x:c r="I59" s="84" t="str">
        <x:v>Baseline</x:v>
      </x:c>
      <x:c r="J59" s="88" t="str">
        <x:v>0–3 s: Muestra Serum humectante. Voz: Hidrata y suaviza la piel.
3–10 s: Muestra uso. Voz: Después de lavar, bombea 1–2 veces en cara y cuello y luego usa crema.
10–15 s: Muestra empaque. Texto: 30 mL. Compra ahora.
TEXTO: Serum humectante para el cuidado diario de piel.</x:v>
      </x:c>
      <x:c r="K59" s="85" t="str">
        <x:v>Pass</x:v>
      </x:c>
      <x:c r="L59" s="85" t="n">
        <x:v>1</x:v>
      </x:c>
      <x:c r="M59" s="85" t="n">
        <x:v>3</x:v>
      </x:c>
      <x:c r="N59" s="85" t="n">
        <x:v>2</x:v>
      </x:c>
      <x:c r="O59" s="85" t="n">
        <x:v>3</x:v>
      </x:c>
      <x:c r="P59" s="85" t="n">
        <x:v>4</x:v>
      </x:c>
      <x:c r="Q59" s="85" t="n">
        <x:v>3</x:v>
      </x:c>
      <x:c r="R59" s="85" t="n">
        <x:v>3</x:v>
      </x:c>
      <x:c r="S59" s="85" t="n">
        <x:v>3</x:v>
      </x:c>
      <x:c r="T59" s="86" t="n">
        <x:v>3</x:v>
      </x:c>
      <x:c r="U59" s="85" t="n">
        <x:v>3</x:v>
      </x:c>
      <x:c r="V59" s="85" t="n">
        <x:v>6</x:v>
      </x:c>
      <x:c r="W59" s="87" t="n">
        <x:v>46231</x:v>
      </x:c>
      <x:c r="X59" s="85" t="str">
        <x:v>Reviewer-01</x:v>
      </x:c>
      <x:c r="Y59" s="85" t="str">
        <x:v>Complete</x:v>
      </x:c>
      <x:c r="Z59" s="85" t="str">
        <x:v>Language issue; Borderline mean score</x:v>
      </x:c>
      <x:c r="AA59" s="88" t="str">
        <x:v>核心事实准确，但“Serum humectante”“bombea”等表达不自然，信息也较泛；需本地化润色。</x:v>
      </x:c>
      <x:c r="AB59" s="85" t="str">
        <x:v>Failure</x:v>
      </x:c>
      <x:c r="AC59" s="85" t="str">
        <x:v>fb74b3e0a87295c3a44b50d78e8671dba6434ab4075e307fe87acf6272c55ffd</x:v>
      </x:c>
    </x:row>
    <x:row r="60" ht="78" customHeight="1">
      <x:c r="A60" s="84" t="n">
        <x:v>57</x:v>
      </x:c>
      <x:c r="B60" s="84" t="str">
        <x:v>G029-A</x:v>
      </x:c>
      <x:c r="C60" s="84" t="str">
        <x:v>G029</x:v>
      </x:c>
      <x:c r="D60" s="84" t="str">
        <x:v>MV-CREAM-001</x:v>
      </x:c>
      <x:c r="E60" s="84" t="str">
        <x:v>MX</x:v>
      </x:c>
      <x:c r="F60" s="84" t="str">
        <x:v>es-MX</x:v>
      </x:c>
      <x:c r="G60" s="84" t="str">
        <x:v>product_listing</x:v>
      </x:c>
      <x:c r="H60" s="84" t="str">
        <x:v>A</x:v>
      </x:c>
      <x:c r="I60" s="84" t="str">
        <x:v>Baseline</x:v>
      </x:c>
      <x:c r="J60" s="88" t="str">
        <x:v>TÍTULO: Mirevane Botanics Crema de cara libre de fragancia, 50 mL
PUNTO 1: Textura en crema sin fragancia añadida.
PUNTO 2: Contiene glicerina, escualano, pantenol y beta-glucano.
PUNTO 3: Hidrata la piel seca.
DESCRIPCIÓN: Pon una cantidad adecuada en cara y cuello limpios y usa bloqueador en el día. Empaque: tarro de PP de 50 mL con tapa interior.</x:v>
      </x:c>
      <x:c r="K60" s="85" t="str">
        <x:v>Fail</x:v>
      </x:c>
      <x:c r="L60" s="85" t="n">
        <x:v>0</x:v>
      </x:c>
      <x:c r="M60" s="85" t="n">
        <x:v>3</x:v>
      </x:c>
      <x:c r="N60" s="85" t="n">
        <x:v>2</x:v>
      </x:c>
      <x:c r="O60" s="85" t="n">
        <x:v>3</x:v>
      </x:c>
      <x:c r="P60" s="85" t="n">
        <x:v>4</x:v>
      </x:c>
      <x:c r="Q60" s="85" t="n">
        <x:v>2</x:v>
      </x:c>
      <x:c r="R60" s="85" t="n">
        <x:v>3</x:v>
      </x:c>
      <x:c r="S60" s="85" t="n">
        <x:v>2</x:v>
      </x:c>
      <x:c r="T60" s="86" t="n">
        <x:v>2.7142857142857144</x:v>
      </x:c>
      <x:c r="U60" s="85" t="n">
        <x:v>4</x:v>
      </x:c>
      <x:c r="V60" s="85" t="n">
        <x:v>7</x:v>
      </x:c>
      <x:c r="W60" s="87" t="n">
        <x:v>46231</x:v>
      </x:c>
      <x:c r="X60" s="85" t="str">
        <x:v>Reviewer-01</x:v>
      </x:c>
      <x:c r="Y60" s="85" t="str">
        <x:v>Complete</x:v>
      </x:c>
      <x:c r="Z60" s="85" t="str">
        <x:v>Unsupported packaging; Language issue; Platform structure</x:v>
      </x:c>
      <x:c r="AA60" s="88" t="str">
        <x:v>仅3个要点且“Crema de cara libre de fragancia”不自然；PP罐与内盖无事实依据，需修改。</x:v>
      </x:c>
      <x:c r="AB60" s="85" t="str">
        <x:v>Failure</x:v>
      </x:c>
      <x:c r="AC60" s="85" t="str">
        <x:v>813301556e58018c39f3dffdc59a010c7437a4fbc9991c382f23f12327beb62d</x:v>
      </x:c>
    </x:row>
    <x:row r="61" ht="78" customHeight="1">
      <x:c r="A61" s="84" t="n">
        <x:v>58</x:v>
      </x:c>
      <x:c r="B61" s="84" t="str">
        <x:v>G029-B</x:v>
      </x:c>
      <x:c r="C61" s="84" t="str">
        <x:v>G029</x:v>
      </x:c>
      <x:c r="D61" s="84" t="str">
        <x:v>MV-CREAM-001</x:v>
      </x:c>
      <x:c r="E61" s="84" t="str">
        <x:v>MX</x:v>
      </x:c>
      <x:c r="F61" s="84" t="str">
        <x:v>es-MX</x:v>
      </x:c>
      <x:c r="G61" s="84" t="str">
        <x:v>product_listing</x:v>
      </x:c>
      <x:c r="H61" s="84" t="str">
        <x:v>B</x:v>
      </x:c>
      <x:c r="I61" s="84" t="str">
        <x:v>LocalizeFlow</x:v>
      </x:c>
      <x:c r="J61" s="88" t="str">
        <x:v>TÍTULO: Mirevane Botanics Crema hidratante facial sin fragancia añadida, 50 mL
PUNTO 1: Textura en crema sin fragancia añadida.
PUNTO 2: Formulado con glicerina, escualano, pantenol y beta-glucano.
PUNTO 3: Ayuda a que la piel se sienta suave e hidratada.
PUNTO 4: Aplícala en el rostro y cuello limpios; durante el día, continúa con protector solar.
PUNTO 5: Presentado en tarro de PP de 50 mL con tapa interior.
DESCRIPCIÓN: Un paso hidratante sin fragancia añadida. Con escualano, pantenol y beta-glucano para ayudar a que la piel se sienta suave e hidratada. Aplícala en el rostro y cuello limpios; durante el día, continúa con protector solar.</x:v>
      </x:c>
      <x:c r="K61" s="85" t="str">
        <x:v>Fail</x:v>
      </x:c>
      <x:c r="L61" s="85" t="n">
        <x:v>0</x:v>
      </x:c>
      <x:c r="M61" s="85" t="n">
        <x:v>5</x:v>
      </x:c>
      <x:c r="N61" s="85" t="n">
        <x:v>5</x:v>
      </x:c>
      <x:c r="O61" s="85" t="n">
        <x:v>5</x:v>
      </x:c>
      <x:c r="P61" s="85" t="n">
        <x:v>4</x:v>
      </x:c>
      <x:c r="Q61" s="85" t="n">
        <x:v>4</x:v>
      </x:c>
      <x:c r="R61" s="85" t="n">
        <x:v>4</x:v>
      </x:c>
      <x:c r="S61" s="85" t="n">
        <x:v>2</x:v>
      </x:c>
      <x:c r="T61" s="86" t="n">
        <x:v>4.142857142857143</x:v>
      </x:c>
      <x:c r="U61" s="85" t="n">
        <x:v>2</x:v>
      </x:c>
      <x:c r="V61" s="85" t="n">
        <x:v>6</x:v>
      </x:c>
      <x:c r="W61" s="87" t="n">
        <x:v>46231</x:v>
      </x:c>
      <x:c r="X61" s="85" t="str">
        <x:v>Reviewer-01</x:v>
      </x:c>
      <x:c r="Y61" s="85" t="str">
        <x:v>Complete</x:v>
      </x:c>
      <x:c r="Z61" s="85" t="str">
        <x:v>Unsupported packaging</x:v>
      </x:c>
      <x:c r="AA61" s="88" t="str">
        <x:v>信息结构与西语质量优秀，但PP罐及内盖未获事实参考支持；修正包装并补AI字段。</x:v>
      </x:c>
      <x:c r="AB61" s="85" t="str">
        <x:v>Failure</x:v>
      </x:c>
      <x:c r="AC61" s="85" t="str">
        <x:v>ff35bd62512d79e759533d847e94fadb609d0c7d9d40519a01508d2217040299</x:v>
      </x:c>
    </x:row>
    <x:row r="62" ht="78" customHeight="1">
      <x:c r="A62" s="84" t="n">
        <x:v>59</x:v>
      </x:c>
      <x:c r="B62" s="84" t="str">
        <x:v>G030-A</x:v>
      </x:c>
      <x:c r="C62" s="84" t="str">
        <x:v>G030</x:v>
      </x:c>
      <x:c r="D62" s="84" t="str">
        <x:v>MV-KIT-001</x:v>
      </x:c>
      <x:c r="E62" s="84" t="str">
        <x:v>MX</x:v>
      </x:c>
      <x:c r="F62" s="84" t="str">
        <x:v>es-MX</x:v>
      </x:c>
      <x:c r="G62" s="84" t="str">
        <x:v>social_ad_copy</x:v>
      </x:c>
      <x:c r="H62" s="84" t="str">
        <x:v>A</x:v>
      </x:c>
      <x:c r="I62" s="84" t="str">
        <x:v>Baseline</x:v>
      </x:c>
      <x:c r="J62" s="88" t="str">
        <x:v>GANCHO: Cubre todas tus necesidades de piel cuando viajas.
TEXTO: Tres productos mini sin fragancia añadida en una caja de cartón. Contiene limpiador de 30 mL, sérum de 10 mL y crema hidratante de 15 mL. Usa primero limpiador, segundo serum y tercero crema.
CTA: Compra ahora.</x:v>
      </x:c>
      <x:c r="K62" s="85" t="str">
        <x:v>Fail</x:v>
      </x:c>
      <x:c r="L62" s="85" t="n">
        <x:v>0</x:v>
      </x:c>
      <x:c r="M62" s="85" t="n">
        <x:v>4</x:v>
      </x:c>
      <x:c r="N62" s="85" t="n">
        <x:v>3</x:v>
      </x:c>
      <x:c r="O62" s="85" t="n">
        <x:v>3</x:v>
      </x:c>
      <x:c r="P62" s="85" t="n">
        <x:v>1</x:v>
      </x:c>
      <x:c r="Q62" s="85" t="n">
        <x:v>3</x:v>
      </x:c>
      <x:c r="R62" s="85" t="n">
        <x:v>2</x:v>
      </x:c>
      <x:c r="S62" s="85" t="n">
        <x:v>2</x:v>
      </x:c>
      <x:c r="T62" s="86" t="n">
        <x:v>2.5714285714285716</x:v>
      </x:c>
      <x:c r="U62" s="85" t="n">
        <x:v>4</x:v>
      </x:c>
      <x:c r="V62" s="85" t="n">
        <x:v>7</x:v>
      </x:c>
      <x:c r="W62" s="87" t="n">
        <x:v>46231</x:v>
      </x:c>
      <x:c r="X62" s="85" t="str">
        <x:v>Reviewer-01</x:v>
      </x:c>
      <x:c r="Y62" s="85" t="str">
        <x:v>Complete</x:v>
      </x:c>
      <x:c r="Z62" s="85" t="str">
        <x:v>Prohibited claim; Brand risk</x:v>
      </x:c>
      <x:c r="AA62" s="88" t="str">
        <x:v>“Cubre todas tus necesidades”属于禁止的全能承诺，且用语较模板化；需重写Hook并补平台信息。</x:v>
      </x:c>
      <x:c r="AB62" s="85" t="str">
        <x:v>Failure</x:v>
      </x:c>
      <x:c r="AC62" s="85" t="str">
        <x:v>1a35a19c422f5d0547aa9b7061856cef55d524e98a428706742969fa6724a1e0</x:v>
      </x:c>
    </x:row>
    <x:row r="63" ht="78" customHeight="1">
      <x:c r="A63" s="84" t="n">
        <x:v>60</x:v>
      </x:c>
      <x:c r="B63" s="84" t="str">
        <x:v>G030-B</x:v>
      </x:c>
      <x:c r="C63" s="84" t="str">
        <x:v>G030</x:v>
      </x:c>
      <x:c r="D63" s="84" t="str">
        <x:v>MV-KIT-001</x:v>
      </x:c>
      <x:c r="E63" s="84" t="str">
        <x:v>MX</x:v>
      </x:c>
      <x:c r="F63" s="84" t="str">
        <x:v>es-MX</x:v>
      </x:c>
      <x:c r="G63" s="84" t="str">
        <x:v>social_ad_copy</x:v>
      </x:c>
      <x:c r="H63" s="84" t="str">
        <x:v>B</x:v>
      </x:c>
      <x:c r="I63" s="84" t="str">
        <x:v>LocalizeFlow</x:v>
      </x:c>
      <x:c r="J63" s="88" t="str">
        <x:v>GANCHO: Tres pasos sencillos en un set para viaje.
TEXTO: Limpiador, sérum y crema hidratante sin fragancia añadida, reunidos en una caja compacta. Usa el limpiador, el sérum y la crema hidratante en ese orden, siguiendo las indicaciones de cada producto.
CTA: Consulta los detalles.</x:v>
      </x:c>
      <x:c r="K63" s="85" t="str">
        <x:v>Pass</x:v>
      </x:c>
      <x:c r="L63" s="85" t="n">
        <x:v>1</x:v>
      </x:c>
      <x:c r="M63" s="85" t="n">
        <x:v>3</x:v>
      </x:c>
      <x:c r="N63" s="85" t="n">
        <x:v>5</x:v>
      </x:c>
      <x:c r="O63" s="85" t="n">
        <x:v>5</x:v>
      </x:c>
      <x:c r="P63" s="85" t="n">
        <x:v>5</x:v>
      </x:c>
      <x:c r="Q63" s="85" t="n">
        <x:v>4</x:v>
      </x:c>
      <x:c r="R63" s="85" t="n">
        <x:v>4</x:v>
      </x:c>
      <x:c r="S63" s="85" t="n">
        <x:v>4</x:v>
      </x:c>
      <x:c r="T63" s="86" t="n">
        <x:v>4.285714285714286</x:v>
      </x:c>
      <x:c r="U63" s="85" t="n">
        <x:v>1</x:v>
      </x:c>
      <x:c r="V63" s="85" t="n">
        <x:v>4</x:v>
      </x:c>
      <x:c r="W63" s="87" t="n">
        <x:v>46231</x:v>
      </x:c>
      <x:c r="X63" s="85" t="str">
        <x:v>Reviewer-01</x:v>
      </x:c>
      <x:c r="Y63" s="85" t="str">
        <x:v>Complete</x:v>
      </x:c>
      <x:c r="Z63" s="85" t="str">
        <x:v>None</x:v>
      </x:c>
      <x:c r="AA63" s="88" t="str">
        <x:v>旅行三步骤和使用顺序表达自然可信，CTA适度；可补充容量信息及平台AI状态。</x:v>
      </x:c>
      <x:c r="AB63" s="85" t="str">
        <x:v>Reviewed</x:v>
      </x:c>
      <x:c r="AC63" s="85" t="str">
        <x:v>f26750db5ee9127a218e7dee6d42f24a7828106f531a4f7da9d66b2573edc1e2</x:v>
      </x:c>
    </x:row>
  </x:sheetData>
  <x:mergeCells>
    <x:mergeCell ref="A1:AC1"/>
    <x:mergeCell ref="A2:AC2"/>
  </x:mergeCells>
  <x:conditionalFormatting sqref="AB4:AB63">
    <x:cfRule type="containsText" dxfId="11" priority="1" operator="containsText" text="Failure"/>
  </x:conditionalFormatting>
  <x:pageMargins left="0.7" right="0.7" top="0.75" bottom="0.75" header="0.3" footer="0.3"/>
  <x:tableParts count="1">
    <x:tablePart xmlns:r="http://schemas.openxmlformats.org/officeDocument/2006/relationships" r:id="R1270bb6d031740a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1" hidden="0" customWidth="1"/>
    <x:col min="4" max="4" width="18" hidden="0" customWidth="1"/>
    <x:col min="5" max="5" width="11" hidden="0" customWidth="1"/>
    <x:col min="6" max="6" width="22" hidden="0" customWidth="1"/>
    <x:col min="7" max="7" width="17" hidden="0" customWidth="1"/>
    <x:col min="8" max="8" width="14" hidden="0" customWidth="1"/>
    <x:col min="9" max="9" width="12" hidden="0" customWidth="1"/>
    <x:col min="10" max="10" width="13" hidden="0" customWidth="1"/>
    <x:col min="11" max="11" width="16" hidden="0" customWidth="1"/>
    <x:col min="12" max="12" width="14" hidden="0" customWidth="1"/>
    <x:col min="13" max="13" width="21" hidden="0" customWidth="1"/>
    <x:col min="14" max="14" width="30" hidden="0" customWidth="1"/>
    <x:col min="15" max="15" width="52" hidden="0" customWidth="1"/>
    <x:col min="16" max="16" width="68" hidden="0" customWidth="1"/>
  </x:cols>
  <x:sheetData>
    <x:row r="1" ht="38" customHeight="1">
      <x:c r="A1" s="64" t="str">
        <x:v>Failure Cases｜30 Actual Threshold Failures</x:v>
      </x:c>
      <x:c r="B1" s="64"/>
      <x:c r="C1" s="64"/>
      <x:c r="D1" s="64"/>
      <x:c r="E1" s="64"/>
      <x:c r="F1" s="64"/>
      <x:c r="G1" s="64"/>
      <x:c r="H1" s="64"/>
      <x:c r="I1" s="64"/>
      <x:c r="J1" s="64"/>
      <x:c r="K1" s="64"/>
      <x:c r="L1" s="64"/>
      <x:c r="M1" s="64"/>
      <x:c r="N1" s="64"/>
      <x:c r="O1" s="64"/>
      <x:c r="P1" s="64"/>
    </x:row>
    <x:row r="2">
      <x:c r="A2" s="67" t="str">
        <x:v>Failure threshold: Fact Accuracy=Fail, Publishability≤2, or Mean Score≤3. All 30 qualifying candidates are included; rows are ordered by mean score.</x:v>
      </x:c>
      <x:c r="B2" s="67"/>
      <x:c r="C2" s="67"/>
      <x:c r="D2" s="67"/>
      <x:c r="E2" s="67"/>
      <x:c r="F2" s="67"/>
      <x:c r="G2" s="67"/>
      <x:c r="H2" s="67"/>
      <x:c r="I2" s="67"/>
      <x:c r="J2" s="67"/>
      <x:c r="K2" s="67"/>
      <x:c r="L2" s="67"/>
      <x:c r="M2" s="67"/>
      <x:c r="N2" s="67"/>
      <x:c r="O2" s="67"/>
      <x:c r="P2" s="67"/>
    </x:row>
    <x:row r="3">
      <x:c r="A3" s="79" t="str">
        <x:v>Rank</x:v>
      </x:c>
      <x:c r="B3" s="80" t="str">
        <x:v>Candidate ID</x:v>
      </x:c>
      <x:c r="C3" s="80" t="str">
        <x:v>Group ID</x:v>
      </x:c>
      <x:c r="D3" s="80" t="str">
        <x:v>SKU</x:v>
      </x:c>
      <x:c r="E3" s="80" t="str">
        <x:v>Language</x:v>
      </x:c>
      <x:c r="F3" s="80" t="str">
        <x:v>Content Type</x:v>
      </x:c>
      <x:c r="G3" s="80" t="str">
        <x:v>Version</x:v>
      </x:c>
      <x:c r="H3" s="80" t="str">
        <x:v>Fact Accuracy</x:v>
      </x:c>
      <x:c r="I3" s="80" t="str">
        <x:v>Mean Score</x:v>
      </x:c>
      <x:c r="J3" s="80" t="str">
        <x:v>Publishability</x:v>
      </x:c>
      <x:c r="K3" s="80" t="str">
        <x:v>Modification Count</x:v>
      </x:c>
      <x:c r="L3" s="80" t="str">
        <x:v>Review Minutes</x:v>
      </x:c>
      <x:c r="M3" s="80" t="str">
        <x:v>Primary Trigger</x:v>
      </x:c>
      <x:c r="N3" s="80" t="str">
        <x:v>Failure Tags</x:v>
      </x:c>
      <x:c r="O3" s="80" t="str">
        <x:v>Reviewer Comments</x:v>
      </x:c>
      <x:c r="P3" s="81" t="str">
        <x:v>Candidate Content</x:v>
      </x:c>
    </x:row>
    <x:row r="4" ht="82" customHeight="1">
      <x:c r="A4" s="93" t="n">
        <x:v>1</x:v>
      </x:c>
      <x:c r="B4" s="90" t="str">
        <x:f>'Revealed Data'!$B$32</x:f>
        <x:v>G015-A</x:v>
      </x:c>
      <x:c r="C4" s="90" t="str">
        <x:f>'Revealed Data'!$C$32</x:f>
        <x:v>G015</x:v>
      </x:c>
      <x:c r="D4" s="90" t="str">
        <x:f>'Revealed Data'!$D$32</x:f>
        <x:v>MV-KIT-001</x:v>
      </x:c>
      <x:c r="E4" s="90" t="str">
        <x:f>'Revealed Data'!$F$32</x:f>
        <x:v>es-MX</x:v>
      </x:c>
      <x:c r="F4" s="90" t="str">
        <x:f>'Revealed Data'!$G$32</x:f>
        <x:v>product_listing</x:v>
      </x:c>
      <x:c r="G4" s="90" t="str">
        <x:f>'Revealed Data'!$I$32</x:f>
        <x:v>Baseline</x:v>
      </x:c>
      <x:c r="H4" s="90" t="str">
        <x:f>'Revealed Data'!$K$32</x:f>
        <x:v>Fail</x:v>
      </x:c>
      <x:c r="I4" s="92" t="n">
        <x:f>'Revealed Data'!$T$32</x:f>
        <x:v>1.8571428571428572</x:v>
      </x:c>
      <x:c r="J4" s="90" t="n">
        <x:f>'Revealed Data'!$S$32</x:f>
        <x:v>1</x:v>
      </x:c>
      <x:c r="K4" s="90" t="n">
        <x:f>'Revealed Data'!$U$32</x:f>
        <x:v>5</x:v>
      </x:c>
      <x:c r="L4" s="90" t="n">
        <x:f>'Revealed Data'!$V$32</x:f>
        <x:v>8</x:v>
      </x:c>
      <x:c r="M4" s="94" t="str">
        <x:f>IF(H4="Fail","Fact Accuracy=Fail",IF(J4&lt;=2,"Publishability≤2",IF(I4&lt;=3,"Mean Score≤3","")))</x:f>
        <x:v>Fact Accuracy=Fail</x:v>
      </x:c>
      <x:c r="N4" s="95" t="str">
        <x:f>'Revealed Data'!$Z$32</x:f>
        <x:v>Prohibited claim; Localization issue; Platform structure</x:v>
      </x:c>
      <x:c r="O4" s="95" t="str">
        <x:f>'Revealed Data'!$AA$32</x:f>
        <x:v>仅3个要点且中英混排，不符合Listing结构；“Cubre todas tus necesidades”是禁止的全能承诺，需重写。</x:v>
      </x:c>
      <x:c r="P4" s="95" t="str">
        <x:f>'Revealed Data'!$J$32</x:f>
        <x:v>TÍTULO: Mirevane Botanics Kit de cuidado de piel para viaje, 3 pieces / 55 mL total
PUNTO 1: Tres productos mini sin fragancia añadida en una caja de cartón.
PUNTO 2: Contiene limpiador de 30 mL, sérum de 10 mL y crema hidratante de 15 mL.
PUNTO 3: Cubre todas tus necesidades de piel cuando viajas.
DESCRIPCIÓN: Usa primero limpiador, segundo serum y tercero crema. Empaque: caja de cartón con tres productos mini que suman 55 mL.</x:v>
      </x:c>
    </x:row>
    <x:row r="5" ht="82" customHeight="1">
      <x:c r="A5" s="93" t="n">
        <x:v>2</x:v>
      </x:c>
      <x:c r="B5" s="90" t="str">
        <x:f>'Revealed Data'!$B$57</x:f>
        <x:v>G027-B</x:v>
      </x:c>
      <x:c r="C5" s="90" t="str">
        <x:f>'Revealed Data'!$C$57</x:f>
        <x:v>G027</x:v>
      </x:c>
      <x:c r="D5" s="90" t="str">
        <x:f>'Revealed Data'!$D$57</x:f>
        <x:v>MV-HAND-001</x:v>
      </x:c>
      <x:c r="E5" s="90" t="str">
        <x:f>'Revealed Data'!$F$57</x:f>
        <x:v>es-MX</x:v>
      </x:c>
      <x:c r="F5" s="90" t="str">
        <x:f>'Revealed Data'!$G$57</x:f>
        <x:v>product_listing</x:v>
      </x:c>
      <x:c r="G5" s="90" t="str">
        <x:f>'Revealed Data'!$I$57</x:f>
        <x:v>Baseline</x:v>
      </x:c>
      <x:c r="H5" s="90" t="str">
        <x:f>'Revealed Data'!$K$57</x:f>
        <x:v>Fail</x:v>
      </x:c>
      <x:c r="I5" s="92" t="n">
        <x:f>'Revealed Data'!$T$57</x:f>
        <x:v>1.8571428571428572</x:v>
      </x:c>
      <x:c r="J5" s="90" t="n">
        <x:f>'Revealed Data'!$S$57</x:f>
        <x:v>1</x:v>
      </x:c>
      <x:c r="K5" s="90" t="n">
        <x:f>'Revealed Data'!$U$57</x:f>
        <x:v>5</x:v>
      </x:c>
      <x:c r="L5" s="90" t="n">
        <x:f>'Revealed Data'!$V$57</x:f>
        <x:v>8</x:v>
      </x:c>
      <x:c r="M5" s="94" t="str">
        <x:f>IF(H5="Fail","Fact Accuracy=Fail",IF(J5&lt;=2,"Publishability≤2",IF(I5&lt;=3,"Mean Score≤3","")))</x:f>
        <x:v>Fact Accuracy=Fail</x:v>
      </x:c>
      <x:c r="N5" s="95" t="str">
        <x:f>'Revealed Data'!$Z$57</x:f>
        <x:v>Prohibited claim; Packaging mismatch; Platform structure</x:v>
      </x:c>
      <x:c r="O5" s="95" t="str">
        <x:f>'Revealed Data'!$AA$57</x:f>
        <x:v>仅3个要点，西语搭配生硬；同时存在“Repara”越界功效和不一致包装材质，需要重写。</x:v>
      </x:c>
      <x:c r="P5" s="95" t="str">
        <x:f>'Revealed Data'!$J$57</x:f>
        <x:v>TÍTULO: Mirevane Botanics Crema humectante de mano, 60 mL
PUNTO 1: Sin fragancia añadida y en tubo de aluminio.
PUNTO 2: Contiene glicerina, manteca de karité, pantenol y alantoína.
PUNTO 3: Repara las manos secas después de lavarlas.
DESCRIPCIÓN: Aplica en manos y bordes de uñas repetidamente cuando sea necesario. Empaque: tubo de aluminio de 60 mL con tapa de PP.</x:v>
      </x:c>
    </x:row>
    <x:row r="6" ht="82" customHeight="1">
      <x:c r="A6" s="93" t="n">
        <x:v>3</x:v>
      </x:c>
      <x:c r="B6" s="90" t="str">
        <x:f>'Revealed Data'!$B$17</x:f>
        <x:v>G007-B</x:v>
      </x:c>
      <x:c r="C6" s="90" t="str">
        <x:f>'Revealed Data'!$C$17</x:f>
        <x:v>G007</x:v>
      </x:c>
      <x:c r="D6" s="90" t="str">
        <x:f>'Revealed Data'!$D$17</x:f>
        <x:v>MV-HAND-001</x:v>
      </x:c>
      <x:c r="E6" s="90" t="str">
        <x:f>'Revealed Data'!$F$17</x:f>
        <x:v>en-US</x:v>
      </x:c>
      <x:c r="F6" s="90" t="str">
        <x:f>'Revealed Data'!$G$17</x:f>
        <x:v>product_listing</x:v>
      </x:c>
      <x:c r="G6" s="90" t="str">
        <x:f>'Revealed Data'!$I$17</x:f>
        <x:v>Baseline</x:v>
      </x:c>
      <x:c r="H6" s="90" t="str">
        <x:f>'Revealed Data'!$K$17</x:f>
        <x:v>Fail</x:v>
      </x:c>
      <x:c r="I6" s="92" t="n">
        <x:f>'Revealed Data'!$T$17</x:f>
        <x:v>2.142857142857143</x:v>
      </x:c>
      <x:c r="J6" s="90" t="n">
        <x:f>'Revealed Data'!$S$17</x:f>
        <x:v>1</x:v>
      </x:c>
      <x:c r="K6" s="90" t="n">
        <x:f>'Revealed Data'!$U$17</x:f>
        <x:v>5</x:v>
      </x:c>
      <x:c r="L6" s="90" t="n">
        <x:f>'Revealed Data'!$V$17</x:f>
        <x:v>8</x:v>
      </x:c>
      <x:c r="M6" s="94" t="str">
        <x:f>IF(H6="Fail","Fact Accuracy=Fail",IF(J6&lt;=2,"Publishability≤2",IF(I6&lt;=3,"Mean Score≤3","")))</x:f>
        <x:v>Fact Accuracy=Fail</x:v>
      </x:c>
      <x:c r="N6" s="95" t="str">
        <x:f>'Revealed Data'!$Z$17</x:f>
        <x:v>Prohibited claim; Unsupported packaging; Platform structure</x:v>
      </x:c>
      <x:c r="O6" s="95" t="str">
        <x:f>'Revealed Data'!$AA$17</x:f>
        <x:v>仅有3个要点，不符合Listing最低结构；同时包含“Repairs”越界功效及不一致的铝管材质，需要重写。</x:v>
      </x:c>
      <x:c r="P6" s="95" t="str">
        <x:f>'Revealed Data'!$J$17</x:f>
        <x:v>TITLE: Mirevane Botanics Hand Moisturizing Cream, 60 mL
BULLET 1: made without added fragrance in an aluminum tube.
BULLET 2: Contains glycerin, shea butter, panthenol and allantoin.
BULLET 3: Repairs dry hands after washing.
DESCRIPTION: Apply to hands and nail edges repeatedly when needed. Package: 60 mL aluminum tube with a PP cap.</x:v>
      </x:c>
    </x:row>
    <x:row r="7" ht="82" customHeight="1">
      <x:c r="A7" s="93" t="n">
        <x:v>4</x:v>
      </x:c>
      <x:c r="B7" s="90" t="str">
        <x:f>'Revealed Data'!$B$35</x:f>
        <x:v>G016-B</x:v>
      </x:c>
      <x:c r="C7" s="90" t="str">
        <x:f>'Revealed Data'!$C$35</x:f>
        <x:v>G016</x:v>
      </x:c>
      <x:c r="D7" s="90" t="str">
        <x:f>'Revealed Data'!$D$35</x:f>
        <x:v>MV-KIT-001</x:v>
      </x:c>
      <x:c r="E7" s="90" t="str">
        <x:f>'Revealed Data'!$F$35</x:f>
        <x:v>en-US</x:v>
      </x:c>
      <x:c r="F7" s="90" t="str">
        <x:f>'Revealed Data'!$G$35</x:f>
        <x:v>product_listing</x:v>
      </x:c>
      <x:c r="G7" s="90" t="str">
        <x:f>'Revealed Data'!$I$35</x:f>
        <x:v>Baseline</x:v>
      </x:c>
      <x:c r="H7" s="90" t="str">
        <x:f>'Revealed Data'!$K$35</x:f>
        <x:v>Fail</x:v>
      </x:c>
      <x:c r="I7" s="92" t="n">
        <x:f>'Revealed Data'!$T$35</x:f>
        <x:v>2.142857142857143</x:v>
      </x:c>
      <x:c r="J7" s="90" t="n">
        <x:f>'Revealed Data'!$S$35</x:f>
        <x:v>1</x:v>
      </x:c>
      <x:c r="K7" s="90" t="n">
        <x:f>'Revealed Data'!$U$35</x:f>
        <x:v>5</x:v>
      </x:c>
      <x:c r="L7" s="90" t="n">
        <x:f>'Revealed Data'!$V$35</x:f>
        <x:v>8</x:v>
      </x:c>
      <x:c r="M7" s="94" t="str">
        <x:f>IF(H7="Fail","Fact Accuracy=Fail",IF(J7&lt;=2,"Publishability≤2",IF(I7&lt;=3,"Mean Score≤3","")))</x:f>
        <x:v>Fact Accuracy=Fail</x:v>
      </x:c>
      <x:c r="N7" s="95" t="str">
        <x:f>'Revealed Data'!$Z$35</x:f>
        <x:v>Prohibited claim; Platform structure</x:v>
      </x:c>
      <x:c r="O7" s="95" t="str">
        <x:f>'Revealed Data'!$AA$35</x:f>
        <x:v>仅3个要点，且“Covers all of your skincare needs”违反事实边界；需要重写并补足Listing结构。</x:v>
      </x:c>
      <x:c r="P7" s="95" t="str">
        <x:f>'Revealed Data'!$J$35</x:f>
        <x:v>TITLE: Mirevane Botanics Travel Skin Care Kit, 3 pieces / 55 mL total
BULLET 1: three fragrance-free mini products in one paper box.
BULLET 2: Contains a 30 mL cleanser, 10 mL serum and 15 mL moisturizer.
BULLET 3: Covers all of your skincare needs while traveling.
DESCRIPTION: Use cleanser first, serum second and cream third. Package: paper box with three mini products totaling 55 mL.</x:v>
      </x:c>
    </x:row>
    <x:row r="8" ht="82" customHeight="1">
      <x:c r="A8" s="93" t="n">
        <x:v>5</x:v>
      </x:c>
      <x:c r="B8" s="90" t="str">
        <x:f>'Revealed Data'!$B$8</x:f>
        <x:v>G003-A</x:v>
      </x:c>
      <x:c r="C8" s="90" t="str">
        <x:f>'Revealed Data'!$C$8</x:f>
        <x:v>G003</x:v>
      </x:c>
      <x:c r="D8" s="90" t="str">
        <x:f>'Revealed Data'!$D$8</x:f>
        <x:v>MV-HAND-001</x:v>
      </x:c>
      <x:c r="E8" s="90" t="str">
        <x:f>'Revealed Data'!$F$8</x:f>
        <x:v>es-MX</x:v>
      </x:c>
      <x:c r="F8" s="90" t="str">
        <x:f>'Revealed Data'!$G$8</x:f>
        <x:v>short_video_script</x:v>
      </x:c>
      <x:c r="G8" s="90" t="str">
        <x:f>'Revealed Data'!$I$8</x:f>
        <x:v>Baseline</x:v>
      </x:c>
      <x:c r="H8" s="90" t="str">
        <x:f>'Revealed Data'!$K$8</x:f>
        <x:v>Fail</x:v>
      </x:c>
      <x:c r="I8" s="92" t="n">
        <x:f>'Revealed Data'!$T$8</x:f>
        <x:v>2.142857142857143</x:v>
      </x:c>
      <x:c r="J8" s="90" t="n">
        <x:f>'Revealed Data'!$S$8</x:f>
        <x:v>2</x:v>
      </x:c>
      <x:c r="K8" s="90" t="n">
        <x:f>'Revealed Data'!$U$8</x:f>
        <x:v>4</x:v>
      </x:c>
      <x:c r="L8" s="90" t="n">
        <x:f>'Revealed Data'!$V$8</x:f>
        <x:v>7</x:v>
      </x:c>
      <x:c r="M8" s="94" t="str">
        <x:f>IF(H8="Fail","Fact Accuracy=Fail",IF(J8&lt;=2,"Publishability≤2",IF(I8&lt;=3,"Mean Score≤3","")))</x:f>
        <x:v>Fact Accuracy=Fail</x:v>
      </x:c>
      <x:c r="N8" s="95" t="str">
        <x:f>'Revealed Data'!$Z$8</x:f>
        <x:v>Prohibited claim; Language issue</x:v>
      </x:c>
      <x:c r="O8" s="95" t="str">
        <x:f>'Revealed Data'!$AA$8</x:f>
        <x:v>“Repara las manos secas”超出允许的柔软、滋润感边界，且多处西语搭配生硬；需要重写功效与文案。</x:v>
      </x:c>
      <x:c r="P8" s="95" t="str">
        <x:f>'Revealed Data'!$J$8</x:f>
        <x:v>0–3 s: Muestra Crema humectante de mano. Voz: Repara las manos secas después de lavarlas.
3–10 s: Muestra uso. Voz: Aplica en manos y bordes de uñas repetidamente cuando sea necesario.
10–15 s: Muestra empaque. Texto: 60 mL. Compra ahora.
TEXTO: Crema humectante de mano para el cuidado diario de piel.</x:v>
      </x:c>
    </x:row>
    <x:row r="9" ht="82" customHeight="1">
      <x:c r="A9" s="93" t="n">
        <x:v>6</x:v>
      </x:c>
      <x:c r="B9" s="90" t="str">
        <x:f>'Revealed Data'!$B$11</x:f>
        <x:v>G004-B</x:v>
      </x:c>
      <x:c r="C9" s="90" t="str">
        <x:f>'Revealed Data'!$C$11</x:f>
        <x:v>G004</x:v>
      </x:c>
      <x:c r="D9" s="90" t="str">
        <x:f>'Revealed Data'!$D$11</x:f>
        <x:v>MV-KIT-001</x:v>
      </x:c>
      <x:c r="E9" s="90" t="str">
        <x:f>'Revealed Data'!$F$11</x:f>
        <x:v>es-MX</x:v>
      </x:c>
      <x:c r="F9" s="90" t="str">
        <x:f>'Revealed Data'!$G$11</x:f>
        <x:v>short_video_script</x:v>
      </x:c>
      <x:c r="G9" s="90" t="str">
        <x:f>'Revealed Data'!$I$11</x:f>
        <x:v>Baseline</x:v>
      </x:c>
      <x:c r="H9" s="90" t="str">
        <x:f>'Revealed Data'!$K$11</x:f>
        <x:v>Fail</x:v>
      </x:c>
      <x:c r="I9" s="92" t="n">
        <x:f>'Revealed Data'!$T$11</x:f>
        <x:v>2.142857142857143</x:v>
      </x:c>
      <x:c r="J9" s="90" t="n">
        <x:f>'Revealed Data'!$S$11</x:f>
        <x:v>2</x:v>
      </x:c>
      <x:c r="K9" s="90" t="n">
        <x:f>'Revealed Data'!$U$11</x:f>
        <x:v>4</x:v>
      </x:c>
      <x:c r="L9" s="90" t="n">
        <x:f>'Revealed Data'!$V$11</x:f>
        <x:v>7</x:v>
      </x:c>
      <x:c r="M9" s="94" t="str">
        <x:f>IF(H9="Fail","Fact Accuracy=Fail",IF(J9&lt;=2,"Publishability≤2",IF(I9&lt;=3,"Mean Score≤3","")))</x:f>
        <x:v>Fact Accuracy=Fail</x:v>
      </x:c>
      <x:c r="N9" s="95" t="str">
        <x:f>'Revealed Data'!$Z$11</x:f>
        <x:v>Prohibited claim; Localization issue</x:v>
      </x:c>
      <x:c r="O9" s="95" t="str">
        <x:f>'Revealed Data'!$AA$11</x:f>
        <x:v>“Cubre todas tus necesidades”构成禁止的全能表述，且中英混排与措辞削弱墨西哥市场适配；需较大改写。</x:v>
      </x:c>
      <x:c r="P9" s="95" t="str">
        <x:f>'Revealed Data'!$J$11</x:f>
        <x:v>0–3 s: Muestra Kit de cuidado de piel para viaje. Voz: Cubre todas tus necesidades de piel cuando viajas.
3–10 s: Muestra uso. Voz: Usa primero limpiador, segundo serum y tercero crema.
10–15 s: Muestra empaque. Texto: 3 pieces / 55 mL total. Compra ahora.
TEXTO: Kit de cuidado de piel para viaje para el cuidado diario de piel.</x:v>
      </x:c>
    </x:row>
    <x:row r="10" ht="82" customHeight="1">
      <x:c r="A10" s="93" t="n">
        <x:v>7</x:v>
      </x:c>
      <x:c r="B10" s="90" t="str">
        <x:f>'Revealed Data'!$B$15</x:f>
        <x:v>G006-B</x:v>
      </x:c>
      <x:c r="C10" s="90" t="str">
        <x:f>'Revealed Data'!$C$15</x:f>
        <x:v>G006</x:v>
      </x:c>
      <x:c r="D10" s="90" t="str">
        <x:f>'Revealed Data'!$D$15</x:f>
        <x:v>MV-HAND-001</x:v>
      </x:c>
      <x:c r="E10" s="90" t="str">
        <x:f>'Revealed Data'!$F$15</x:f>
        <x:v>en-US</x:v>
      </x:c>
      <x:c r="F10" s="90" t="str">
        <x:f>'Revealed Data'!$G$15</x:f>
        <x:v>short_video_script</x:v>
      </x:c>
      <x:c r="G10" s="90" t="str">
        <x:f>'Revealed Data'!$I$15</x:f>
        <x:v>Baseline</x:v>
      </x:c>
      <x:c r="H10" s="90" t="str">
        <x:f>'Revealed Data'!$K$15</x:f>
        <x:v>Fail</x:v>
      </x:c>
      <x:c r="I10" s="92" t="n">
        <x:f>'Revealed Data'!$T$15</x:f>
        <x:v>2.4285714285714284</x:v>
      </x:c>
      <x:c r="J10" s="90" t="n">
        <x:f>'Revealed Data'!$S$15</x:f>
        <x:v>2</x:v>
      </x:c>
      <x:c r="K10" s="90" t="n">
        <x:f>'Revealed Data'!$U$15</x:f>
        <x:v>4</x:v>
      </x:c>
      <x:c r="L10" s="90" t="n">
        <x:f>'Revealed Data'!$V$15</x:f>
        <x:v>6</x:v>
      </x:c>
      <x:c r="M10" s="94" t="str">
        <x:f>IF(H10="Fail","Fact Accuracy=Fail",IF(J10&lt;=2,"Publishability≤2",IF(I10&lt;=3,"Mean Score≤3","")))</x:f>
        <x:v>Fact Accuracy=Fail</x:v>
      </x:c>
      <x:c r="N10" s="95" t="str">
        <x:f>'Revealed Data'!$Z$15</x:f>
        <x:v>Prohibited claim; Brand risk</x:v>
      </x:c>
      <x:c r="O10" s="95" t="str">
        <x:f>'Revealed Data'!$AA$15</x:f>
        <x:v>“Repairs dry hands”超出允许的感受型功效边界，语言也较模板化；需重写Hook、功效和AIGC信息。</x:v>
      </x:c>
      <x:c r="P10" s="95" t="str">
        <x:f>'Revealed Data'!$J$15</x:f>
        <x:v>0–3s: Show Hand Moisturizing Cream. Voice: Repairs dry hands after washing.
3–10s: Show use. Voice: Apply to hands and nail edges repeatedly when needed.
10–15s: Show package. Text: 60 mL. Buy now.
CAPTION: Hand Moisturizing Cream for daily skin care.</x:v>
      </x:c>
    </x:row>
    <x:row r="11" ht="82" customHeight="1">
      <x:c r="A11" s="93" t="n">
        <x:v>8</x:v>
      </x:c>
      <x:c r="B11" s="90" t="str">
        <x:f>'Revealed Data'!$B$20</x:f>
        <x:v>G009-A</x:v>
      </x:c>
      <x:c r="C11" s="90" t="str">
        <x:f>'Revealed Data'!$C$20</x:f>
        <x:v>G009</x:v>
      </x:c>
      <x:c r="D11" s="90" t="str">
        <x:f>'Revealed Data'!$D$20</x:f>
        <x:v>MV-KIT-001</x:v>
      </x:c>
      <x:c r="E11" s="90" t="str">
        <x:f>'Revealed Data'!$F$20</x:f>
        <x:v>en-US</x:v>
      </x:c>
      <x:c r="F11" s="90" t="str">
        <x:f>'Revealed Data'!$G$20</x:f>
        <x:v>short_video_script</x:v>
      </x:c>
      <x:c r="G11" s="90" t="str">
        <x:f>'Revealed Data'!$I$20</x:f>
        <x:v>Baseline</x:v>
      </x:c>
      <x:c r="H11" s="90" t="str">
        <x:f>'Revealed Data'!$K$20</x:f>
        <x:v>Fail</x:v>
      </x:c>
      <x:c r="I11" s="92" t="n">
        <x:f>'Revealed Data'!$T$20</x:f>
        <x:v>2.4285714285714284</x:v>
      </x:c>
      <x:c r="J11" s="90" t="n">
        <x:f>'Revealed Data'!$S$20</x:f>
        <x:v>2</x:v>
      </x:c>
      <x:c r="K11" s="90" t="n">
        <x:f>'Revealed Data'!$U$20</x:f>
        <x:v>4</x:v>
      </x:c>
      <x:c r="L11" s="90" t="n">
        <x:f>'Revealed Data'!$V$20</x:f>
        <x:v>7</x:v>
      </x:c>
      <x:c r="M11" s="94" t="str">
        <x:f>IF(H11="Fail","Fact Accuracy=Fail",IF(J11&lt;=2,"Publishability≤2",IF(I11&lt;=3,"Mean Score≤3","")))</x:f>
        <x:v>Fact Accuracy=Fail</x:v>
      </x:c>
      <x:c r="N11" s="95" t="str">
        <x:f>'Revealed Data'!$Z$20</x:f>
        <x:v>Prohibited claim; Brand risk</x:v>
      </x:c>
      <x:c r="O11" s="95" t="str">
        <x:f>'Revealed Data'!$AA$20</x:f>
        <x:v>“Covers all of your skincare needs”属于禁止的全能承诺，且脚本较泛；需改写Hook与利益点。</x:v>
      </x:c>
      <x:c r="P11" s="95" t="str">
        <x:f>'Revealed Data'!$J$20</x:f>
        <x:v>0–3s: Show Travel Skin Care Kit. Voice: Covers all of your skincare needs while traveling.
3–10s: Show use. Voice: Use cleanser first, serum second and cream third.
10–15s: Show package. Text: 3 pieces / 55 mL total. Buy now.
CAPTION: Travel Skin Care Kit for daily skin care.</x:v>
      </x:c>
    </x:row>
    <x:row r="12" ht="82" customHeight="1">
      <x:c r="A12" s="93" t="n">
        <x:v>9</x:v>
      </x:c>
      <x:c r="B12" s="90" t="str">
        <x:f>'Revealed Data'!$B$41</x:f>
        <x:v>G019-B</x:v>
      </x:c>
      <x:c r="C12" s="90" t="str">
        <x:f>'Revealed Data'!$C$41</x:f>
        <x:v>G019</x:v>
      </x:c>
      <x:c r="D12" s="90" t="str">
        <x:f>'Revealed Data'!$D$41</x:f>
        <x:v>MV-HAND-001</x:v>
      </x:c>
      <x:c r="E12" s="90" t="str">
        <x:f>'Revealed Data'!$F$41</x:f>
        <x:v>en-US</x:v>
      </x:c>
      <x:c r="F12" s="90" t="str">
        <x:f>'Revealed Data'!$G$41</x:f>
        <x:v>social_ad_copy</x:v>
      </x:c>
      <x:c r="G12" s="90" t="str">
        <x:f>'Revealed Data'!$I$41</x:f>
        <x:v>Baseline</x:v>
      </x:c>
      <x:c r="H12" s="90" t="str">
        <x:f>'Revealed Data'!$K$41</x:f>
        <x:v>Fail</x:v>
      </x:c>
      <x:c r="I12" s="92" t="n">
        <x:f>'Revealed Data'!$T$41</x:f>
        <x:v>2.5714285714285716</x:v>
      </x:c>
      <x:c r="J12" s="90" t="n">
        <x:f>'Revealed Data'!$S$41</x:f>
        <x:v>2</x:v>
      </x:c>
      <x:c r="K12" s="90" t="n">
        <x:f>'Revealed Data'!$U$41</x:f>
        <x:v>4</x:v>
      </x:c>
      <x:c r="L12" s="90" t="n">
        <x:f>'Revealed Data'!$V$41</x:f>
        <x:v>7</x:v>
      </x:c>
      <x:c r="M12" s="94" t="str">
        <x:f>IF(H12="Fail","Fact Accuracy=Fail",IF(J12&lt;=2,"Publishability≤2",IF(I12&lt;=3,"Mean Score≤3","")))</x:f>
        <x:v>Fact Accuracy=Fail</x:v>
      </x:c>
      <x:c r="N12" s="95" t="str">
        <x:f>'Revealed Data'!$Z$41</x:f>
        <x:v>Prohibited claim; Packaging mismatch</x:v>
      </x:c>
      <x:c r="O12" s="95" t="str">
        <x:f>'Revealed Data'!$AA$41</x:f>
        <x:v>“Repairs dry hands”越界，铝管材质也与事实参考不一致；需要重写Hook并修正包装信息。</x:v>
      </x:c>
      <x:c r="P12" s="95" t="str">
        <x:f>'Revealed Data'!$J$41</x:f>
        <x:v>HOOK: Repairs dry hands after washing.
BODY: made without added fragrance in an aluminum tube. Contains glycerin, shea butter, panthenol and allantoin. Apply to hands and nail edges repeatedly when needed.
CTA: Buy now.</x:v>
      </x:c>
    </x:row>
    <x:row r="13" ht="82" customHeight="1">
      <x:c r="A13" s="93" t="n">
        <x:v>10</x:v>
      </x:c>
      <x:c r="B13" s="90" t="str">
        <x:f>'Revealed Data'!$B$52</x:f>
        <x:v>G025-A</x:v>
      </x:c>
      <x:c r="C13" s="90" t="str">
        <x:f>'Revealed Data'!$C$52</x:f>
        <x:v>G025</x:v>
      </x:c>
      <x:c r="D13" s="90" t="str">
        <x:f>'Revealed Data'!$D$52</x:f>
        <x:v>MV-HAND-001</x:v>
      </x:c>
      <x:c r="E13" s="90" t="str">
        <x:f>'Revealed Data'!$F$52</x:f>
        <x:v>es-MX</x:v>
      </x:c>
      <x:c r="F13" s="90" t="str">
        <x:f>'Revealed Data'!$G$52</x:f>
        <x:v>social_ad_copy</x:v>
      </x:c>
      <x:c r="G13" s="90" t="str">
        <x:f>'Revealed Data'!$I$52</x:f>
        <x:v>Baseline</x:v>
      </x:c>
      <x:c r="H13" s="90" t="str">
        <x:f>'Revealed Data'!$K$52</x:f>
        <x:v>Fail</x:v>
      </x:c>
      <x:c r="I13" s="92" t="n">
        <x:f>'Revealed Data'!$T$52</x:f>
        <x:v>2.5714285714285716</x:v>
      </x:c>
      <x:c r="J13" s="90" t="n">
        <x:f>'Revealed Data'!$S$52</x:f>
        <x:v>2</x:v>
      </x:c>
      <x:c r="K13" s="90" t="n">
        <x:f>'Revealed Data'!$U$52</x:f>
        <x:v>4</x:v>
      </x:c>
      <x:c r="L13" s="90" t="n">
        <x:f>'Revealed Data'!$V$52</x:f>
        <x:v>7</x:v>
      </x:c>
      <x:c r="M13" s="94" t="str">
        <x:f>IF(H13="Fail","Fact Accuracy=Fail",IF(J13&lt;=2,"Publishability≤2",IF(I13&lt;=3,"Mean Score≤3","")))</x:f>
        <x:v>Fact Accuracy=Fail</x:v>
      </x:c>
      <x:c r="N13" s="95" t="str">
        <x:f>'Revealed Data'!$Z$52</x:f>
        <x:v>Prohibited claim; Packaging mismatch</x:v>
      </x:c>
      <x:c r="O13" s="95" t="str">
        <x:f>'Revealed Data'!$AA$52</x:f>
        <x:v>“Repara las manos secas”越界，铝管材质也与事实参考不一致；需重写功效并修正包装。</x:v>
      </x:c>
      <x:c r="P13" s="95" t="str">
        <x:f>'Revealed Data'!$J$52</x:f>
        <x:v>GANCHO: Repara las manos secas después de lavarlas.
TEXTO: Sin fragancia añadida y en tubo de aluminio. Contiene glicerina, manteca de karité, pantenol y alantoína. Aplica en manos y bordes de uñas repetidamente cuando sea necesario.
CTA: Compra ahora.</x:v>
      </x:c>
    </x:row>
    <x:row r="14" ht="82" customHeight="1">
      <x:c r="A14" s="93" t="n">
        <x:v>11</x:v>
      </x:c>
      <x:c r="B14" s="90" t="str">
        <x:f>'Revealed Data'!$B$62</x:f>
        <x:v>G030-A</x:v>
      </x:c>
      <x:c r="C14" s="90" t="str">
        <x:f>'Revealed Data'!$C$62</x:f>
        <x:v>G030</x:v>
      </x:c>
      <x:c r="D14" s="90" t="str">
        <x:f>'Revealed Data'!$D$62</x:f>
        <x:v>MV-KIT-001</x:v>
      </x:c>
      <x:c r="E14" s="90" t="str">
        <x:f>'Revealed Data'!$F$62</x:f>
        <x:v>es-MX</x:v>
      </x:c>
      <x:c r="F14" s="90" t="str">
        <x:f>'Revealed Data'!$G$62</x:f>
        <x:v>social_ad_copy</x:v>
      </x:c>
      <x:c r="G14" s="90" t="str">
        <x:f>'Revealed Data'!$I$62</x:f>
        <x:v>Baseline</x:v>
      </x:c>
      <x:c r="H14" s="90" t="str">
        <x:f>'Revealed Data'!$K$62</x:f>
        <x:v>Fail</x:v>
      </x:c>
      <x:c r="I14" s="92" t="n">
        <x:f>'Revealed Data'!$T$62</x:f>
        <x:v>2.5714285714285716</x:v>
      </x:c>
      <x:c r="J14" s="90" t="n">
        <x:f>'Revealed Data'!$S$62</x:f>
        <x:v>2</x:v>
      </x:c>
      <x:c r="K14" s="90" t="n">
        <x:f>'Revealed Data'!$U$62</x:f>
        <x:v>4</x:v>
      </x:c>
      <x:c r="L14" s="90" t="n">
        <x:f>'Revealed Data'!$V$62</x:f>
        <x:v>7</x:v>
      </x:c>
      <x:c r="M14" s="94" t="str">
        <x:f>IF(H14="Fail","Fact Accuracy=Fail",IF(J14&lt;=2,"Publishability≤2",IF(I14&lt;=3,"Mean Score≤3","")))</x:f>
        <x:v>Fact Accuracy=Fail</x:v>
      </x:c>
      <x:c r="N14" s="95" t="str">
        <x:f>'Revealed Data'!$Z$62</x:f>
        <x:v>Prohibited claim; Brand risk</x:v>
      </x:c>
      <x:c r="O14" s="95" t="str">
        <x:f>'Revealed Data'!$AA$62</x:f>
        <x:v>“Cubre todas tus necesidades”属于禁止的全能承诺，且用语较模板化；需重写Hook并补平台信息。</x:v>
      </x:c>
      <x:c r="P14" s="95" t="str">
        <x:f>'Revealed Data'!$J$62</x:f>
        <x:v>GANCHO: Cubre todas tus necesidades de piel cuando viajas.
TEXTO: Tres productos mini sin fragancia añadida en una caja de cartón. Contiene limpiador de 30 mL, sérum de 10 mL y crema hidratante de 15 mL. Usa primero limpiador, segundo serum y tercero crema.
CTA: Compra ahora.</x:v>
      </x:c>
    </x:row>
    <x:row r="15" ht="82" customHeight="1">
      <x:c r="A15" s="93" t="n">
        <x:v>12</x:v>
      </x:c>
      <x:c r="B15" s="90" t="str">
        <x:f>'Revealed Data'!$B$6</x:f>
        <x:v>G002-A</x:v>
      </x:c>
      <x:c r="C15" s="90" t="str">
        <x:f>'Revealed Data'!$C$6</x:f>
        <x:v>G002</x:v>
      </x:c>
      <x:c r="D15" s="90" t="str">
        <x:f>'Revealed Data'!$D$6</x:f>
        <x:v>MV-KIT-001</x:v>
      </x:c>
      <x:c r="E15" s="90" t="str">
        <x:f>'Revealed Data'!$F$6</x:f>
        <x:v>en-US</x:v>
      </x:c>
      <x:c r="F15" s="90" t="str">
        <x:f>'Revealed Data'!$G$6</x:f>
        <x:v>social_ad_copy</x:v>
      </x:c>
      <x:c r="G15" s="90" t="str">
        <x:f>'Revealed Data'!$I$6</x:f>
        <x:v>Baseline</x:v>
      </x:c>
      <x:c r="H15" s="90" t="str">
        <x:f>'Revealed Data'!$K$6</x:f>
        <x:v>Fail</x:v>
      </x:c>
      <x:c r="I15" s="92" t="n">
        <x:f>'Revealed Data'!$T$6</x:f>
        <x:v>2.7142857142857144</x:v>
      </x:c>
      <x:c r="J15" s="90" t="n">
        <x:f>'Revealed Data'!$S$6</x:f>
        <x:v>2</x:v>
      </x:c>
      <x:c r="K15" s="90" t="n">
        <x:f>'Revealed Data'!$U$6</x:f>
        <x:v>3</x:v>
      </x:c>
      <x:c r="L15" s="90" t="n">
        <x:f>'Revealed Data'!$V$6</x:f>
        <x:v>6</x:v>
      </x:c>
      <x:c r="M15" s="94" t="str">
        <x:f>IF(H15="Fail","Fact Accuracy=Fail",IF(J15&lt;=2,"Publishability≤2",IF(I15&lt;=3,"Mean Score≤3","")))</x:f>
        <x:v>Fact Accuracy=Fail</x:v>
      </x:c>
      <x:c r="N15" s="95" t="str">
        <x:f>'Revealed Data'!$Z$6</x:f>
        <x:v>Prohibited claim; Brand risk</x:v>
      </x:c>
      <x:c r="O15" s="95" t="str">
        <x:f>'Revealed Data'!$AA$6</x:f>
        <x:v>“Covers all of your skincare needs”属于明确越界的全能功效表述；需改写Hook并补齐平台与AI使用信息。</x:v>
      </x:c>
      <x:c r="P15" s="95" t="str">
        <x:f>'Revealed Data'!$J$6</x:f>
        <x:v>HOOK: Covers all of your skincare needs while traveling.
BODY: three fragrance-free mini products in one paper box. Contains a 30 mL cleanser, 10 mL serum and 15 mL moisturizer. Use cleanser first, serum second and cream third.
CTA: Buy now.</x:v>
      </x:c>
    </x:row>
    <x:row r="16" ht="82" customHeight="1">
      <x:c r="A16" s="93" t="n">
        <x:v>13</x:v>
      </x:c>
      <x:c r="B16" s="90" t="str">
        <x:f>'Revealed Data'!$B$46</x:f>
        <x:v>G022-A</x:v>
      </x:c>
      <x:c r="C16" s="90" t="str">
        <x:f>'Revealed Data'!$C$46</x:f>
        <x:v>G022</x:v>
      </x:c>
      <x:c r="D16" s="90" t="str">
        <x:f>'Revealed Data'!$D$46</x:f>
        <x:v>MV-SERUM-001</x:v>
      </x:c>
      <x:c r="E16" s="90" t="str">
        <x:f>'Revealed Data'!$F$46</x:f>
        <x:v>es-MX</x:v>
      </x:c>
      <x:c r="F16" s="90" t="str">
        <x:f>'Revealed Data'!$G$46</x:f>
        <x:v>product_listing</x:v>
      </x:c>
      <x:c r="G16" s="90" t="str">
        <x:f>'Revealed Data'!$I$46</x:f>
        <x:v>Baseline</x:v>
      </x:c>
      <x:c r="H16" s="90" t="str">
        <x:f>'Revealed Data'!$K$46</x:f>
        <x:v>Fail</x:v>
      </x:c>
      <x:c r="I16" s="92" t="n">
        <x:f>'Revealed Data'!$T$46</x:f>
        <x:v>2.7142857142857144</x:v>
      </x:c>
      <x:c r="J16" s="90" t="n">
        <x:f>'Revealed Data'!$S$46</x:f>
        <x:v>2</x:v>
      </x:c>
      <x:c r="K16" s="90" t="n">
        <x:f>'Revealed Data'!$U$46</x:f>
        <x:v>4</x:v>
      </x:c>
      <x:c r="L16" s="90" t="n">
        <x:f>'Revealed Data'!$V$46</x:f>
        <x:v>7</x:v>
      </x:c>
      <x:c r="M16" s="94" t="str">
        <x:f>IF(H16="Fail","Fact Accuracy=Fail",IF(J16&lt;=2,"Publishability≤2",IF(I16&lt;=3,"Mean Score≤3","")))</x:f>
        <x:v>Fact Accuracy=Fail</x:v>
      </x:c>
      <x:c r="N16" s="95" t="str">
        <x:f>'Revealed Data'!$Z$46</x:f>
        <x:v>Unsupported packaging; Language issue; Platform structure</x:v>
      </x:c>
      <x:c r="O16" s="95" t="str">
        <x:f>'Revealed Data'!$AA$46</x:f>
        <x:v>仅3个要点，“bombea”等表述生硬；不透明PP瓶材质无事实依据，需结构和语言双重修改。</x:v>
      </x:c>
      <x:c r="P16" s="95" t="str">
        <x:f>'Revealed Data'!$J$46</x:f>
        <x:v>TÍTULO: Mirevane Botanics Serum humectante, 30 mL
PUNTO 1: Gel de base acuosa sin fragancia añadida.
PUNTO 2: Contiene glicerina, hialuronato de sodio y pantenol.
PUNTO 3: Hidrata y suaviza la piel.
DESCRIPCIÓN: Después de lavar, bombea 1–2 veces en cara y cuello y luego usa crema. Empaque: envase opaco de PP con bomba de 30 mL.</x:v>
      </x:c>
    </x:row>
    <x:row r="17" ht="82" customHeight="1">
      <x:c r="A17" s="93" t="n">
        <x:v>14</x:v>
      </x:c>
      <x:c r="B17" s="90" t="str">
        <x:f>'Revealed Data'!$B$60</x:f>
        <x:v>G029-A</x:v>
      </x:c>
      <x:c r="C17" s="90" t="str">
        <x:f>'Revealed Data'!$C$60</x:f>
        <x:v>G029</x:v>
      </x:c>
      <x:c r="D17" s="90" t="str">
        <x:f>'Revealed Data'!$D$60</x:f>
        <x:v>MV-CREAM-001</x:v>
      </x:c>
      <x:c r="E17" s="90" t="str">
        <x:f>'Revealed Data'!$F$60</x:f>
        <x:v>es-MX</x:v>
      </x:c>
      <x:c r="F17" s="90" t="str">
        <x:f>'Revealed Data'!$G$60</x:f>
        <x:v>product_listing</x:v>
      </x:c>
      <x:c r="G17" s="90" t="str">
        <x:f>'Revealed Data'!$I$60</x:f>
        <x:v>Baseline</x:v>
      </x:c>
      <x:c r="H17" s="90" t="str">
        <x:f>'Revealed Data'!$K$60</x:f>
        <x:v>Fail</x:v>
      </x:c>
      <x:c r="I17" s="92" t="n">
        <x:f>'Revealed Data'!$T$60</x:f>
        <x:v>2.7142857142857144</x:v>
      </x:c>
      <x:c r="J17" s="90" t="n">
        <x:f>'Revealed Data'!$S$60</x:f>
        <x:v>2</x:v>
      </x:c>
      <x:c r="K17" s="90" t="n">
        <x:f>'Revealed Data'!$U$60</x:f>
        <x:v>4</x:v>
      </x:c>
      <x:c r="L17" s="90" t="n">
        <x:f>'Revealed Data'!$V$60</x:f>
        <x:v>7</x:v>
      </x:c>
      <x:c r="M17" s="94" t="str">
        <x:f>IF(H17="Fail","Fact Accuracy=Fail",IF(J17&lt;=2,"Publishability≤2",IF(I17&lt;=3,"Mean Score≤3","")))</x:f>
        <x:v>Fact Accuracy=Fail</x:v>
      </x:c>
      <x:c r="N17" s="95" t="str">
        <x:f>'Revealed Data'!$Z$60</x:f>
        <x:v>Unsupported packaging; Language issue; Platform structure</x:v>
      </x:c>
      <x:c r="O17" s="95" t="str">
        <x:f>'Revealed Data'!$AA$60</x:f>
        <x:v>仅3个要点且“Crema de cara libre de fragancia”不自然；PP罐与内盖无事实依据，需修改。</x:v>
      </x:c>
      <x:c r="P17" s="95" t="str">
        <x:f>'Revealed Data'!$J$60</x:f>
        <x:v>TÍTULO: Mirevane Botanics Crema de cara libre de fragancia, 50 mL
PUNTO 1: Textura en crema sin fragancia añadida.
PUNTO 2: Contiene glicerina, escualano, pantenol y beta-glucano.
PUNTO 3: Hidrata la piel seca.
DESCRIPCIÓN: Pon una cantidad adecuada en cara y cuello limpios y usa bloqueador en el día. Empaque: tarro de PP de 50 mL con tapa interior.</x:v>
      </x:c>
    </x:row>
    <x:row r="18" ht="82" customHeight="1">
      <x:c r="A18" s="93" t="n">
        <x:v>15</x:v>
      </x:c>
      <x:c r="B18" s="90" t="str">
        <x:f>'Revealed Data'!$B$36</x:f>
        <x:v>G017-A</x:v>
      </x:c>
      <x:c r="C18" s="90" t="str">
        <x:f>'Revealed Data'!$C$36</x:f>
        <x:v>G017</x:v>
      </x:c>
      <x:c r="D18" s="90" t="str">
        <x:f>'Revealed Data'!$D$36</x:f>
        <x:v>MV-CREAM-001</x:v>
      </x:c>
      <x:c r="E18" s="90" t="str">
        <x:f>'Revealed Data'!$F$36</x:f>
        <x:v>en-US</x:v>
      </x:c>
      <x:c r="F18" s="90" t="str">
        <x:f>'Revealed Data'!$G$36</x:f>
        <x:v>product_listing</x:v>
      </x:c>
      <x:c r="G18" s="90" t="str">
        <x:f>'Revealed Data'!$I$36</x:f>
        <x:v>Baseline</x:v>
      </x:c>
      <x:c r="H18" s="90" t="str">
        <x:f>'Revealed Data'!$K$36</x:f>
        <x:v>Fail</x:v>
      </x:c>
      <x:c r="I18" s="92" t="n">
        <x:f>'Revealed Data'!$T$36</x:f>
        <x:v>2.857142857142857</x:v>
      </x:c>
      <x:c r="J18" s="90" t="n">
        <x:f>'Revealed Data'!$S$36</x:f>
        <x:v>2</x:v>
      </x:c>
      <x:c r="K18" s="90" t="n">
        <x:f>'Revealed Data'!$U$36</x:f>
        <x:v>4</x:v>
      </x:c>
      <x:c r="L18" s="90" t="n">
        <x:f>'Revealed Data'!$V$36</x:f>
        <x:v>7</x:v>
      </x:c>
      <x:c r="M18" s="94" t="str">
        <x:f>IF(H18="Fail","Fact Accuracy=Fail",IF(J18&lt;=2,"Publishability≤2",IF(I18&lt;=3,"Mean Score≤3","")))</x:f>
        <x:v>Fact Accuracy=Fail</x:v>
      </x:c>
      <x:c r="N18" s="95" t="str">
        <x:f>'Revealed Data'!$Z$36</x:f>
        <x:v>Unsupported packaging; Platform structure</x:v>
      </x:c>
      <x:c r="O18" s="95" t="str">
        <x:f>'Revealed Data'!$AA$36</x:f>
        <x:v>仅3个要点，不符合Listing最低结构；PP罐与内盖未获事实参考支持，需删除或核验。</x:v>
      </x:c>
      <x:c r="P18" s="95" t="str">
        <x:f>'Revealed Data'!$J$36</x:f>
        <x:v>TITLE: Mirevane Botanics Fragrance-Free Face Cream, 50 mL
BULLET 1: a cream texture made without added fragrance.
BULLET 2: Contains glycerin, squalane, panthenol and beta-glucan.
BULLET 3: Moisturizes dry skin.
DESCRIPTION: Put a suitable amount on clean face and neck and use sunscreen in daytime. Package: 50 mL PP jar with an inner lid.</x:v>
      </x:c>
    </x:row>
    <x:row r="19" ht="82" customHeight="1">
      <x:c r="A19" s="93" t="n">
        <x:v>16</x:v>
      </x:c>
      <x:c r="B19" s="90" t="str">
        <x:f>'Revealed Data'!$B$38</x:f>
        <x:v>G018-A</x:v>
      </x:c>
      <x:c r="C19" s="90" t="str">
        <x:f>'Revealed Data'!$C$38</x:f>
        <x:v>G018</x:v>
      </x:c>
      <x:c r="D19" s="90" t="str">
        <x:f>'Revealed Data'!$D$38</x:f>
        <x:v>MV-SERUM-001</x:v>
      </x:c>
      <x:c r="E19" s="90" t="str">
        <x:f>'Revealed Data'!$F$38</x:f>
        <x:v>en-US</x:v>
      </x:c>
      <x:c r="F19" s="90" t="str">
        <x:f>'Revealed Data'!$G$38</x:f>
        <x:v>product_listing</x:v>
      </x:c>
      <x:c r="G19" s="90" t="str">
        <x:f>'Revealed Data'!$I$38</x:f>
        <x:v>Baseline</x:v>
      </x:c>
      <x:c r="H19" s="90" t="str">
        <x:f>'Revealed Data'!$K$38</x:f>
        <x:v>Fail</x:v>
      </x:c>
      <x:c r="I19" s="92" t="n">
        <x:f>'Revealed Data'!$T$38</x:f>
        <x:v>2.857142857142857</x:v>
      </x:c>
      <x:c r="J19" s="90" t="n">
        <x:f>'Revealed Data'!$S$38</x:f>
        <x:v>2</x:v>
      </x:c>
      <x:c r="K19" s="90" t="n">
        <x:f>'Revealed Data'!$U$38</x:f>
        <x:v>4</x:v>
      </x:c>
      <x:c r="L19" s="90" t="n">
        <x:f>'Revealed Data'!$V$38</x:f>
        <x:v>7</x:v>
      </x:c>
      <x:c r="M19" s="94" t="str">
        <x:f>IF(H19="Fail","Fact Accuracy=Fail",IF(J19&lt;=2,"Publishability≤2",IF(I19&lt;=3,"Mean Score≤3","")))</x:f>
        <x:v>Fact Accuracy=Fail</x:v>
      </x:c>
      <x:c r="N19" s="95" t="str">
        <x:f>'Revealed Data'!$Z$38</x:f>
        <x:v>Unsupported packaging; Platform structure</x:v>
      </x:c>
      <x:c r="O19" s="95" t="str">
        <x:f>'Revealed Data'!$AA$38</x:f>
        <x:v>仅3个要点，且不透明PP泵瓶材质未获事实参考支持；需补足结构、删除或核验包装。</x:v>
      </x:c>
      <x:c r="P19" s="95" t="str">
        <x:f>'Revealed Data'!$J$38</x:f>
        <x:v>TITLE: Mirevane Botanics Moisturizing Serum, 30 mL
BULLET 1: a water-based gel made without added fragrance.
BULLET 2: Contains glycerin, sodium hyaluronate and panthenol.
BULLET 3: Hydrates and softens the skin.
DESCRIPTION: After washing, pump 1–2 times on face and neck, then use cream. Package: opaque 30 mL PP pump bottle.</x:v>
      </x:c>
    </x:row>
    <x:row r="20" ht="82" customHeight="1">
      <x:c r="A20" s="93" t="n">
        <x:v>17</x:v>
      </x:c>
      <x:c r="B20" s="90" t="str">
        <x:f>'Revealed Data'!$B$44</x:f>
        <x:v>G021-A</x:v>
      </x:c>
      <x:c r="C20" s="90" t="str">
        <x:f>'Revealed Data'!$C$44</x:f>
        <x:v>G021</x:v>
      </x:c>
      <x:c r="D20" s="90" t="str">
        <x:f>'Revealed Data'!$D$44</x:f>
        <x:v>MV-CLEAN-001</x:v>
      </x:c>
      <x:c r="E20" s="90" t="str">
        <x:f>'Revealed Data'!$F$44</x:f>
        <x:v>en-US</x:v>
      </x:c>
      <x:c r="F20" s="90" t="str">
        <x:f>'Revealed Data'!$G$44</x:f>
        <x:v>product_listing</x:v>
      </x:c>
      <x:c r="G20" s="90" t="str">
        <x:f>'Revealed Data'!$I$44</x:f>
        <x:v>Baseline</x:v>
      </x:c>
      <x:c r="H20" s="90" t="str">
        <x:f>'Revealed Data'!$K$44</x:f>
        <x:v>Fail</x:v>
      </x:c>
      <x:c r="I20" s="92" t="n">
        <x:f>'Revealed Data'!$T$44</x:f>
        <x:v>2.857142857142857</x:v>
      </x:c>
      <x:c r="J20" s="90" t="n">
        <x:f>'Revealed Data'!$S$44</x:f>
        <x:v>2</x:v>
      </x:c>
      <x:c r="K20" s="90" t="n">
        <x:f>'Revealed Data'!$U$44</x:f>
        <x:v>4</x:v>
      </x:c>
      <x:c r="L20" s="90" t="n">
        <x:f>'Revealed Data'!$V$44</x:f>
        <x:v>7</x:v>
      </x:c>
      <x:c r="M20" s="94" t="str">
        <x:f>IF(H20="Fail","Fact Accuracy=Fail",IF(J20&lt;=2,"Publishability≤2",IF(I20&lt;=3,"Mean Score≤3","")))</x:f>
        <x:v>Fact Accuracy=Fail</x:v>
      </x:c>
      <x:c r="N20" s="95" t="str">
        <x:f>'Revealed Data'!$Z$44</x:f>
        <x:v>Unsupported packaging; Platform structure</x:v>
      </x:c>
      <x:c r="O20" s="95" t="str">
        <x:f>'Revealed Data'!$AA$44</x:f>
        <x:v>仅3个要点，PET瓶材质未获事实参考支持；同时需要润色用法并补全Listing结构。</x:v>
      </x:c>
      <x:c r="P20" s="95" t="str">
        <x:f>'Revealed Data'!$J$44</x:f>
        <x:v>TITLE: Mirevane Botanics Amino Acid Facial Cleanser, 120 mL
BULLET 1: made without added fragrance or sulfate surfactants.
BULLET 2: Contains glycerin, sodium cocoyl glycinate and panthenol.
BULLET 3: Removes dirt and excess oil from skin.
DESCRIPTION: Use 1–2 pumps on the wet face, massage for 30 seconds and wash with water. Package: 120 mL PET pump bottle.</x:v>
      </x:c>
    </x:row>
    <x:row r="21" ht="82" customHeight="1">
      <x:c r="A21" s="93" t="n">
        <x:v>18</x:v>
      </x:c>
      <x:c r="B21" s="90" t="str">
        <x:f>'Revealed Data'!$B$42</x:f>
        <x:v>G020-A</x:v>
      </x:c>
      <x:c r="C21" s="90" t="str">
        <x:f>'Revealed Data'!$C$42</x:f>
        <x:v>G020</x:v>
      </x:c>
      <x:c r="D21" s="90" t="str">
        <x:f>'Revealed Data'!$D$42</x:f>
        <x:v>MV-CLEAN-001</x:v>
      </x:c>
      <x:c r="E21" s="90" t="str">
        <x:f>'Revealed Data'!$F$42</x:f>
        <x:v>es-MX</x:v>
      </x:c>
      <x:c r="F21" s="90" t="str">
        <x:f>'Revealed Data'!$G$42</x:f>
        <x:v>product_listing</x:v>
      </x:c>
      <x:c r="G21" s="90" t="str">
        <x:f>'Revealed Data'!$I$42</x:f>
        <x:v>Baseline</x:v>
      </x:c>
      <x:c r="H21" s="90" t="str">
        <x:f>'Revealed Data'!$K$42</x:f>
        <x:v>Fail</x:v>
      </x:c>
      <x:c r="I21" s="92" t="n">
        <x:f>'Revealed Data'!$T$42</x:f>
        <x:v>2.857142857142857</x:v>
      </x:c>
      <x:c r="J21" s="90" t="n">
        <x:f>'Revealed Data'!$S$42</x:f>
        <x:v>2</x:v>
      </x:c>
      <x:c r="K21" s="90" t="n">
        <x:f>'Revealed Data'!$U$42</x:f>
        <x:v>4</x:v>
      </x:c>
      <x:c r="L21" s="90" t="n">
        <x:f>'Revealed Data'!$V$42</x:f>
        <x:v>7</x:v>
      </x:c>
      <x:c r="M21" s="94" t="str">
        <x:f>IF(H21="Fail","Fact Accuracy=Fail",IF(J21&lt;=2,"Publishability≤2",IF(I21&lt;=3,"Mean Score≤3","")))</x:f>
        <x:v>Fact Accuracy=Fail</x:v>
      </x:c>
      <x:c r="N21" s="95" t="str">
        <x:f>'Revealed Data'!$Z$42</x:f>
        <x:v>Unsupported packaging; Platform structure</x:v>
      </x:c>
      <x:c r="O21" s="95" t="str">
        <x:f>'Revealed Data'!$AA$42</x:f>
        <x:v>仅3个要点，PET瓶材质未获事实参考支持；需补足Listing结构并核验或删除包装材质。</x:v>
      </x:c>
      <x:c r="P21" s="95" t="str">
        <x:f>'Revealed Data'!$J$42</x:f>
        <x:v>TÍTULO: Mirevane Botanics Limpiador facial de aminoácidos, 120 mL
PUNTO 1: Sin fragancia añadida ni tensioactivos con sulfatos.
PUNTO 2: Contiene glicerina, glicinato de cocoilo de sodio y pantenol.
PUNTO 3: Elimina la suciedad y el exceso de grasa de la piel.
DESCRIPCIÓN: Usa 1–2 bombas en la cara mojada, masajea 30 segundos y lava con agua. Empaque: envase PET con bomba de 120 mL.</x:v>
      </x:c>
    </x:row>
    <x:row r="22" ht="82" customHeight="1">
      <x:c r="A22" s="93" t="n">
        <x:v>19</x:v>
      </x:c>
      <x:c r="B22" s="90" t="str">
        <x:f>'Revealed Data'!$B$26</x:f>
        <x:v>G012-A</x:v>
      </x:c>
      <x:c r="C22" s="90" t="str">
        <x:f>'Revealed Data'!$C$26</x:f>
        <x:v>G012</x:v>
      </x:c>
      <x:c r="D22" s="90" t="str">
        <x:f>'Revealed Data'!$D$26</x:f>
        <x:v>MV-CREAM-001</x:v>
      </x:c>
      <x:c r="E22" s="90" t="str">
        <x:f>'Revealed Data'!$F$26</x:f>
        <x:v>es-MX</x:v>
      </x:c>
      <x:c r="F22" s="90" t="str">
        <x:f>'Revealed Data'!$G$26</x:f>
        <x:v>short_video_script</x:v>
      </x:c>
      <x:c r="G22" s="90" t="str">
        <x:f>'Revealed Data'!$I$26</x:f>
        <x:v>Baseline</x:v>
      </x:c>
      <x:c r="H22" s="90" t="str">
        <x:f>'Revealed Data'!$K$26</x:f>
        <x:v>Pass</x:v>
      </x:c>
      <x:c r="I22" s="92" t="n">
        <x:f>'Revealed Data'!$T$26</x:f>
        <x:v>3</x:v>
      </x:c>
      <x:c r="J22" s="90" t="n">
        <x:f>'Revealed Data'!$S$26</x:f>
        <x:v>3</x:v>
      </x:c>
      <x:c r="K22" s="90" t="n">
        <x:f>'Revealed Data'!$U$26</x:f>
        <x:v>3</x:v>
      </x:c>
      <x:c r="L22" s="90" t="n">
        <x:f>'Revealed Data'!$V$26</x:f>
        <x:v>6</x:v>
      </x:c>
      <x:c r="M22" s="94" t="str">
        <x:f>IF(H22="Fail","Fact Accuracy=Fail",IF(J22&lt;=2,"Publishability≤2",IF(I22&lt;=3,"Mean Score≤3","")))</x:f>
        <x:v>Mean Score≤3</x:v>
      </x:c>
      <x:c r="N22" s="95" t="str">
        <x:f>'Revealed Data'!$Z$26</x:f>
        <x:v>Language issue; Borderline mean score</x:v>
      </x:c>
      <x:c r="O22" s="95" t="str">
        <x:f>'Revealed Data'!$AA$26</x:f>
        <x:v>事实基本准确，但“Crema de cara libre de fragancia”和“cuidado diario de piel”翻译感明显；需本地化润色。</x:v>
      </x:c>
      <x:c r="P22" s="95" t="str">
        <x:f>'Revealed Data'!$J$26</x:f>
        <x:v>0–3 s: Muestra Crema de cara libre de fragancia. Voz: Hidrata la piel seca.
3–10 s: Muestra uso. Voz: Pon una cantidad adecuada en cara y cuello limpios y usa bloqueador en el día.
10–15 s: Muestra empaque. Texto: 50 mL. Compra ahora.
TEXTO: Crema de cara libre de fragancia para el cuidado diario de piel.</x:v>
      </x:c>
    </x:row>
    <x:row r="23" ht="82" customHeight="1">
      <x:c r="A23" s="93" t="n">
        <x:v>20</x:v>
      </x:c>
      <x:c r="B23" s="90" t="str">
        <x:f>'Revealed Data'!$B$59</x:f>
        <x:v>G028-B</x:v>
      </x:c>
      <x:c r="C23" s="90" t="str">
        <x:f>'Revealed Data'!$C$59</x:f>
        <x:v>G028</x:v>
      </x:c>
      <x:c r="D23" s="90" t="str">
        <x:f>'Revealed Data'!$D$59</x:f>
        <x:v>MV-SERUM-001</x:v>
      </x:c>
      <x:c r="E23" s="90" t="str">
        <x:f>'Revealed Data'!$F$59</x:f>
        <x:v>es-MX</x:v>
      </x:c>
      <x:c r="F23" s="90" t="str">
        <x:f>'Revealed Data'!$G$59</x:f>
        <x:v>short_video_script</x:v>
      </x:c>
      <x:c r="G23" s="90" t="str">
        <x:f>'Revealed Data'!$I$59</x:f>
        <x:v>Baseline</x:v>
      </x:c>
      <x:c r="H23" s="90" t="str">
        <x:f>'Revealed Data'!$K$59</x:f>
        <x:v>Pass</x:v>
      </x:c>
      <x:c r="I23" s="92" t="n">
        <x:f>'Revealed Data'!$T$59</x:f>
        <x:v>3</x:v>
      </x:c>
      <x:c r="J23" s="90" t="n">
        <x:f>'Revealed Data'!$S$59</x:f>
        <x:v>3</x:v>
      </x:c>
      <x:c r="K23" s="90" t="n">
        <x:f>'Revealed Data'!$U$59</x:f>
        <x:v>3</x:v>
      </x:c>
      <x:c r="L23" s="90" t="n">
        <x:f>'Revealed Data'!$V$59</x:f>
        <x:v>6</x:v>
      </x:c>
      <x:c r="M23" s="94" t="str">
        <x:f>IF(H23="Fail","Fact Accuracy=Fail",IF(J23&lt;=2,"Publishability≤2",IF(I23&lt;=3,"Mean Score≤3","")))</x:f>
        <x:v>Mean Score≤3</x:v>
      </x:c>
      <x:c r="N23" s="95" t="str">
        <x:f>'Revealed Data'!$Z$59</x:f>
        <x:v>Language issue; Borderline mean score</x:v>
      </x:c>
      <x:c r="O23" s="95" t="str">
        <x:f>'Revealed Data'!$AA$59</x:f>
        <x:v>核心事实准确，但“Serum humectante”“bombea”等表达不自然，信息也较泛；需本地化润色。</x:v>
      </x:c>
      <x:c r="P23" s="95" t="str">
        <x:f>'Revealed Data'!$J$59</x:f>
        <x:v>0–3 s: Muestra Serum humectante. Voz: Hidrata y suaviza la piel.
3–10 s: Muestra uso. Voz: Después de lavar, bombea 1–2 veces en cara y cuello y luego usa crema.
10–15 s: Muestra empaque. Texto: 30 mL. Compra ahora.
TEXTO: Serum humectante para el cuidado diario de piel.</x:v>
      </x:c>
    </x:row>
    <x:row r="24" ht="82" customHeight="1">
      <x:c r="A24" s="93" t="n">
        <x:v>21</x:v>
      </x:c>
      <x:c r="B24" s="90" t="str">
        <x:f>'Revealed Data'!$B$9</x:f>
        <x:v>G003-B</x:v>
      </x:c>
      <x:c r="C24" s="90" t="str">
        <x:f>'Revealed Data'!$C$9</x:f>
        <x:v>G003</x:v>
      </x:c>
      <x:c r="D24" s="90" t="str">
        <x:f>'Revealed Data'!$D$9</x:f>
        <x:v>MV-HAND-001</x:v>
      </x:c>
      <x:c r="E24" s="90" t="str">
        <x:f>'Revealed Data'!$F$9</x:f>
        <x:v>es-MX</x:v>
      </x:c>
      <x:c r="F24" s="90" t="str">
        <x:f>'Revealed Data'!$G$9</x:f>
        <x:v>short_video_script</x:v>
      </x:c>
      <x:c r="G24" s="90" t="str">
        <x:f>'Revealed Data'!$I$9</x:f>
        <x:v>LocalizeFlow</x:v>
      </x:c>
      <x:c r="H24" s="90" t="str">
        <x:f>'Revealed Data'!$K$9</x:f>
        <x:v>Fail</x:v>
      </x:c>
      <x:c r="I24" s="92" t="n">
        <x:f>'Revealed Data'!$T$9</x:f>
        <x:v>3.7142857142857144</x:v>
      </x:c>
      <x:c r="J24" s="90" t="n">
        <x:f>'Revealed Data'!$S$9</x:f>
        <x:v>2</x:v>
      </x:c>
      <x:c r="K24" s="90" t="n">
        <x:f>'Revealed Data'!$U$9</x:f>
        <x:v>2</x:v>
      </x:c>
      <x:c r="L24" s="90" t="n">
        <x:f>'Revealed Data'!$V$9</x:f>
        <x:v>5</x:v>
      </x:c>
      <x:c r="M24" s="94" t="str">
        <x:f>IF(H24="Fail","Fact Accuracy=Fail",IF(J24&lt;=2,"Publishability≤2",IF(I24&lt;=3,"Mean Score≤3","")))</x:f>
        <x:v>Fact Accuracy=Fail</x:v>
      </x:c>
      <x:c r="N24" s="95" t="str">
        <x:f>'Revealed Data'!$Z$9</x:f>
        <x:v>Packaging mismatch</x:v>
      </x:c>
      <x:c r="O24" s="95" t="str">
        <x:f>'Revealed Data'!$AA$9</x:f>
        <x:v>整体脚本自然完整，但“tubo de aluminio”与事实参考中的软管包装不一致；修正包装并补充AIGC标识。</x:v>
      </x:c>
      <x:c r="P24" s="95" t="str">
        <x:f>'Revealed Data'!$J$9</x:f>
        <x:v>00:00–00:03 GANCHO — Visual: Producto en una rutina sencilla. Voz: Un paso sencillo para las manos después del lavado.
00:03–00:08 CARACTERÍSTICA — Visual: Textura y envase. Voz: Sin fragancia añadida y en tubo de aluminio.
00:08–00:13 USO + EXPERIENCIA — Visual: Demostración de uso. Voz: Ayuda a que las manos se sientan suaves e hidratadas después del lavado diario. Masajea las manos y el contorno de las uñas según sea necesario; solo para uso externo.
00:13–00:15 CTA — Texto en pantalla: Consulta los detalles.
TEXTO: Con glicerina, manteca de karité, pantenol y alantoína para ayudar a que las manos se sientan suaves e hidratadas.</x:v>
      </x:c>
    </x:row>
    <x:row r="25" ht="82" customHeight="1">
      <x:c r="A25" s="93" t="n">
        <x:v>22</x:v>
      </x:c>
      <x:c r="B25" s="90" t="str">
        <x:f>'Revealed Data'!$B$14</x:f>
        <x:v>G006-A</x:v>
      </x:c>
      <x:c r="C25" s="90" t="str">
        <x:f>'Revealed Data'!$C$14</x:f>
        <x:v>G006</x:v>
      </x:c>
      <x:c r="D25" s="90" t="str">
        <x:f>'Revealed Data'!$D$14</x:f>
        <x:v>MV-HAND-001</x:v>
      </x:c>
      <x:c r="E25" s="90" t="str">
        <x:f>'Revealed Data'!$F$14</x:f>
        <x:v>en-US</x:v>
      </x:c>
      <x:c r="F25" s="90" t="str">
        <x:f>'Revealed Data'!$G$14</x:f>
        <x:v>short_video_script</x:v>
      </x:c>
      <x:c r="G25" s="90" t="str">
        <x:f>'Revealed Data'!$I$14</x:f>
        <x:v>LocalizeFlow</x:v>
      </x:c>
      <x:c r="H25" s="90" t="str">
        <x:f>'Revealed Data'!$K$14</x:f>
        <x:v>Fail</x:v>
      </x:c>
      <x:c r="I25" s="92" t="n">
        <x:f>'Revealed Data'!$T$14</x:f>
        <x:v>3.857142857142857</x:v>
      </x:c>
      <x:c r="J25" s="90" t="n">
        <x:f>'Revealed Data'!$S$14</x:f>
        <x:v>2</x:v>
      </x:c>
      <x:c r="K25" s="90" t="n">
        <x:f>'Revealed Data'!$U$14</x:f>
        <x:v>2</x:v>
      </x:c>
      <x:c r="L25" s="90" t="n">
        <x:f>'Revealed Data'!$V$14</x:f>
        <x:v>5</x:v>
      </x:c>
      <x:c r="M25" s="94" t="str">
        <x:f>IF(H25="Fail","Fact Accuracy=Fail",IF(J25&lt;=2,"Publishability≤2",IF(I25&lt;=3,"Mean Score≤3","")))</x:f>
        <x:v>Fact Accuracy=Fail</x:v>
      </x:c>
      <x:c r="N25" s="95" t="str">
        <x:f>'Revealed Data'!$Z$14</x:f>
        <x:v>Packaging mismatch</x:v>
      </x:c>
      <x:c r="O25" s="95" t="str">
        <x:f>'Revealed Data'!$AA$14</x:f>
        <x:v>脚本节奏与语言表现良好，但“aluminum tube”与事实参考中的软管包装不一致；需修正包装陈述。</x:v>
      </x:c>
      <x:c r="P25" s="95" t="str">
        <x:f>'Revealed Data'!$J$14</x:f>
        <x:v>00:00–00:03 HOOK — Visual: Product in a simple routine. Voice: A simple hand-care step after washing.
00:03–00:08 VERIFIED FEATURE — Visual: Texture and package. Voice: Made without added fragrance in an aluminum tube.
00:08–00:13 USE + EXPERIENCE — Visual: Demonstrate use. Voice: Helps hands feel soft and moisturized after everyday washing. Massage into hands and around the nails as needed; for external use only.
00:13–00:15 CTA — On-screen: See product details.
CAPTION: Made with glycerin, shea butter, panthenol and allantoin to help hands feel soft and moisturized.</x:v>
      </x:c>
    </x:row>
    <x:row r="26" ht="82" customHeight="1">
      <x:c r="A26" s="93" t="n">
        <x:v>23</x:v>
      </x:c>
      <x:c r="B26" s="90" t="str">
        <x:f>'Revealed Data'!$B$39</x:f>
        <x:v>G018-B</x:v>
      </x:c>
      <x:c r="C26" s="90" t="str">
        <x:f>'Revealed Data'!$C$39</x:f>
        <x:v>G018</x:v>
      </x:c>
      <x:c r="D26" s="90" t="str">
        <x:f>'Revealed Data'!$D$39</x:f>
        <x:v>MV-SERUM-001</x:v>
      </x:c>
      <x:c r="E26" s="90" t="str">
        <x:f>'Revealed Data'!$F$39</x:f>
        <x:v>en-US</x:v>
      </x:c>
      <x:c r="F26" s="90" t="str">
        <x:f>'Revealed Data'!$G$39</x:f>
        <x:v>product_listing</x:v>
      </x:c>
      <x:c r="G26" s="90" t="str">
        <x:f>'Revealed Data'!$I$39</x:f>
        <x:v>LocalizeFlow</x:v>
      </x:c>
      <x:c r="H26" s="90" t="str">
        <x:f>'Revealed Data'!$K$39</x:f>
        <x:v>Fail</x:v>
      </x:c>
      <x:c r="I26" s="92" t="n">
        <x:f>'Revealed Data'!$T$39</x:f>
        <x:v>3.857142857142857</x:v>
      </x:c>
      <x:c r="J26" s="90" t="n">
        <x:f>'Revealed Data'!$S$39</x:f>
        <x:v>2</x:v>
      </x:c>
      <x:c r="K26" s="90" t="n">
        <x:f>'Revealed Data'!$U$39</x:f>
        <x:v>3</x:v>
      </x:c>
      <x:c r="L26" s="90" t="n">
        <x:f>'Revealed Data'!$V$39</x:f>
        <x:v>6</x:v>
      </x:c>
      <x:c r="M26" s="94" t="str">
        <x:f>IF(H26="Fail","Fact Accuracy=Fail",IF(J26&lt;=2,"Publishability≤2",IF(I26&lt;=3,"Mean Score≤3","")))</x:f>
        <x:v>Fact Accuracy=Fail</x:v>
      </x:c>
      <x:c r="N26" s="95" t="str">
        <x:f>'Revealed Data'!$Z$39</x:f>
        <x:v>Unsupported packaging; Language issue</x:v>
      </x:c>
      <x:c r="O26" s="95" t="str">
        <x:f>'Revealed Data'!$AA$39</x:f>
        <x:v>Listing信息完整，但“a opaque”有语法错误，且不透明PP瓶材质无事实依据；需修正后发布。</x:v>
      </x:c>
      <x:c r="P26" s="95" t="str">
        <x:f>'Revealed Data'!$J$39</x:f>
        <x:v>TITLE: Mirevane Botanics Hydrating Serum, 30 mL
BULLET 1: A water-based gel made without added fragrance.
BULLET 2: Made with glycerin, sodium hyaluronate and panthenol.
BULLET 3: Helps skin feel hydrated and soft.
BULLET 4: Apply 1–2 pumps to the face and neck after cleansing, follow with moisturizer, and avoid the eye area.
BULLET 5: Presented in a opaque 30 mL PP pump bottle.
DESCRIPTION: Light hydration before moisturizer. A water-based gel with glycerin, sodium hyaluronate and panthenol that helps skin feel hydrated. Apply 1–2 pumps to the face and neck after cleansing, follow with moisturizer, and avoid the eye area.</x:v>
      </x:c>
    </x:row>
    <x:row r="27" ht="82" customHeight="1">
      <x:c r="A27" s="93" t="n">
        <x:v>24</x:v>
      </x:c>
      <x:c r="B27" s="90" t="str">
        <x:f>'Revealed Data'!$B$16</x:f>
        <x:v>G007-A</x:v>
      </x:c>
      <x:c r="C27" s="90" t="str">
        <x:f>'Revealed Data'!$C$16</x:f>
        <x:v>G007</x:v>
      </x:c>
      <x:c r="D27" s="90" t="str">
        <x:f>'Revealed Data'!$D$16</x:f>
        <x:v>MV-HAND-001</x:v>
      </x:c>
      <x:c r="E27" s="90" t="str">
        <x:f>'Revealed Data'!$F$16</x:f>
        <x:v>en-US</x:v>
      </x:c>
      <x:c r="F27" s="90" t="str">
        <x:f>'Revealed Data'!$G$16</x:f>
        <x:v>product_listing</x:v>
      </x:c>
      <x:c r="G27" s="90" t="str">
        <x:f>'Revealed Data'!$I$16</x:f>
        <x:v>LocalizeFlow</x:v>
      </x:c>
      <x:c r="H27" s="90" t="str">
        <x:f>'Revealed Data'!$K$16</x:f>
        <x:v>Fail</x:v>
      </x:c>
      <x:c r="I27" s="92" t="n">
        <x:f>'Revealed Data'!$T$16</x:f>
        <x:v>4</x:v>
      </x:c>
      <x:c r="J27" s="90" t="n">
        <x:f>'Revealed Data'!$S$16</x:f>
        <x:v>2</x:v>
      </x:c>
      <x:c r="K27" s="90" t="n">
        <x:f>'Revealed Data'!$U$16</x:f>
        <x:v>2</x:v>
      </x:c>
      <x:c r="L27" s="90" t="n">
        <x:f>'Revealed Data'!$V$16</x:f>
        <x:v>6</x:v>
      </x:c>
      <x:c r="M27" s="94" t="str">
        <x:f>IF(H27="Fail","Fact Accuracy=Fail",IF(J27&lt;=2,"Publishability≤2",IF(I27&lt;=3,"Mean Score≤3","")))</x:f>
        <x:v>Fact Accuracy=Fail</x:v>
      </x:c>
      <x:c r="N27" s="95" t="str">
        <x:f>'Revealed Data'!$Z$16</x:f>
        <x:v>Unsupported packaging</x:v>
      </x:c>
      <x:c r="O27" s="95" t="str">
        <x:f>'Revealed Data'!$AA$16</x:f>
        <x:v>Listing结构与卖点完整，但铝管及PP盖材质未获事实参考支持且与软管描述不一致；需核验或删除。</x:v>
      </x:c>
      <x:c r="P27" s="95" t="str">
        <x:f>'Revealed Data'!$J$16</x:f>
        <x:v>TITLE: Mirevane Botanics Fragrance-Free Hand Cream, 60 mL
BULLET 1: Made without added fragrance in an aluminum tube.
BULLET 2: Made with glycerin, shea butter, panthenol and allantoin.
BULLET 3: Helps hands feel soft and moisturized after everyday washing.
BULLET 4: Massage into hands and around the nails as needed; for external use only.
BULLET 5: Presented in a 60 mL aluminum tube with a PP cap.
DESCRIPTION: A simple hand-care step after washing. Made with glycerin, shea butter, panthenol and allantoin to help hands feel soft and moisturized. Massage into hands and around the nails as needed; for external use only.</x:v>
      </x:c>
    </x:row>
    <x:row r="28" ht="82" customHeight="1">
      <x:c r="A28" s="93" t="n">
        <x:v>25</x:v>
      </x:c>
      <x:c r="B28" s="90" t="str">
        <x:f>'Revealed Data'!$B$37</x:f>
        <x:v>G017-B</x:v>
      </x:c>
      <x:c r="C28" s="90" t="str">
        <x:f>'Revealed Data'!$C$37</x:f>
        <x:v>G017</x:v>
      </x:c>
      <x:c r="D28" s="90" t="str">
        <x:f>'Revealed Data'!$D$37</x:f>
        <x:v>MV-CREAM-001</x:v>
      </x:c>
      <x:c r="E28" s="90" t="str">
        <x:f>'Revealed Data'!$F$37</x:f>
        <x:v>en-US</x:v>
      </x:c>
      <x:c r="F28" s="90" t="str">
        <x:f>'Revealed Data'!$G$37</x:f>
        <x:v>product_listing</x:v>
      </x:c>
      <x:c r="G28" s="90" t="str">
        <x:f>'Revealed Data'!$I$37</x:f>
        <x:v>LocalizeFlow</x:v>
      </x:c>
      <x:c r="H28" s="90" t="str">
        <x:f>'Revealed Data'!$K$37</x:f>
        <x:v>Fail</x:v>
      </x:c>
      <x:c r="I28" s="92" t="n">
        <x:f>'Revealed Data'!$T$37</x:f>
        <x:v>4</x:v>
      </x:c>
      <x:c r="J28" s="90" t="n">
        <x:f>'Revealed Data'!$S$37</x:f>
        <x:v>2</x:v>
      </x:c>
      <x:c r="K28" s="90" t="n">
        <x:f>'Revealed Data'!$U$37</x:f>
        <x:v>2</x:v>
      </x:c>
      <x:c r="L28" s="90" t="n">
        <x:f>'Revealed Data'!$V$37</x:f>
        <x:v>6</x:v>
      </x:c>
      <x:c r="M28" s="94" t="str">
        <x:f>IF(H28="Fail","Fact Accuracy=Fail",IF(J28&lt;=2,"Publishability≤2",IF(I28&lt;=3,"Mean Score≤3","")))</x:f>
        <x:v>Fact Accuracy=Fail</x:v>
      </x:c>
      <x:c r="N28" s="95" t="str">
        <x:f>'Revealed Data'!$Z$37</x:f>
        <x:v>Unsupported packaging</x:v>
      </x:c>
      <x:c r="O28" s="95" t="str">
        <x:f>'Revealed Data'!$AA$37</x:f>
        <x:v>内容结构和语言优秀，但PP罐与内盖未获事实参考支持；修正包装陈述并补AI字段后可发布。</x:v>
      </x:c>
      <x:c r="P28" s="95" t="str">
        <x:f>'Revealed Data'!$J$37</x:f>
        <x:v>TITLE: Mirevane Botanics Fragrance-Free Facial Moisturizer, 50 mL
BULLET 1: A cream texture made without added fragrance.
BULLET 2: Made with glycerin, squalane, panthenol and beta-glucan.
BULLET 3: Helps skin feel soft and moisturized.
BULLET 4: Apply to a clean face and neck; follow with sunscreen during the day.
BULLET 5: Presented in a 50 mL PP jar with an inner lid.
DESCRIPTION: A fragrance-free moisturizing step. Made with squalane, panthenol and beta-glucan to help skin feel soft and moisturized. Apply to a clean face and neck; follow with sunscreen during the day.</x:v>
      </x:c>
    </x:row>
    <x:row r="29" ht="82" customHeight="1">
      <x:c r="A29" s="93" t="n">
        <x:v>26</x:v>
      </x:c>
      <x:c r="B29" s="90" t="str">
        <x:f>'Revealed Data'!$B$45</x:f>
        <x:v>G021-B</x:v>
      </x:c>
      <x:c r="C29" s="90" t="str">
        <x:f>'Revealed Data'!$C$45</x:f>
        <x:v>G021</x:v>
      </x:c>
      <x:c r="D29" s="90" t="str">
        <x:f>'Revealed Data'!$D$45</x:f>
        <x:v>MV-CLEAN-001</x:v>
      </x:c>
      <x:c r="E29" s="90" t="str">
        <x:f>'Revealed Data'!$F$45</x:f>
        <x:v>en-US</x:v>
      </x:c>
      <x:c r="F29" s="90" t="str">
        <x:f>'Revealed Data'!$G$45</x:f>
        <x:v>product_listing</x:v>
      </x:c>
      <x:c r="G29" s="90" t="str">
        <x:f>'Revealed Data'!$I$45</x:f>
        <x:v>LocalizeFlow</x:v>
      </x:c>
      <x:c r="H29" s="90" t="str">
        <x:f>'Revealed Data'!$K$45</x:f>
        <x:v>Fail</x:v>
      </x:c>
      <x:c r="I29" s="92" t="n">
        <x:f>'Revealed Data'!$T$45</x:f>
        <x:v>4</x:v>
      </x:c>
      <x:c r="J29" s="90" t="n">
        <x:f>'Revealed Data'!$S$45</x:f>
        <x:v>2</x:v>
      </x:c>
      <x:c r="K29" s="90" t="n">
        <x:f>'Revealed Data'!$U$45</x:f>
        <x:v>2</x:v>
      </x:c>
      <x:c r="L29" s="90" t="n">
        <x:f>'Revealed Data'!$V$45</x:f>
        <x:v>6</x:v>
      </x:c>
      <x:c r="M29" s="94" t="str">
        <x:f>IF(H29="Fail","Fact Accuracy=Fail",IF(J29&lt;=2,"Publishability≤2",IF(I29&lt;=3,"Mean Score≤3","")))</x:f>
        <x:v>Fact Accuracy=Fail</x:v>
      </x:c>
      <x:c r="N29" s="95" t="str">
        <x:f>'Revealed Data'!$Z$45</x:f>
        <x:v>Unsupported packaging</x:v>
      </x:c>
      <x:c r="O29" s="95" t="str">
        <x:f>'Revealed Data'!$AA$45</x:f>
        <x:v>内容完整自然、利益点审慎，但PET瓶材质无事实参考依据；修正包装并补AI字段。</x:v>
      </x:c>
      <x:c r="P29" s="95" t="str">
        <x:f>'Revealed Data'!$J$45</x:f>
        <x:v>TITLE: Mirevane Botanics Facial Cleanser, 120 mL
BULLET 1: Made without added fragrance or sulfate surfactants.
BULLET 2: Made with glycerin, sodium cocoyl glycinate and panthenol.
BULLET 3: Helps remove surface dirt and excess oil while leaving skin feeling comfortable.
BULLET 4: Massage 1–2 pumps over a wet face for about 30 seconds, rinse, and avoid the eye area.
BULLET 5: Presented in a 120 mL PET pump bottle.
DESCRIPTION: A clear, fragrance-free start to your routine. Made without added fragrance or sulfate surfactants, this cleanser helps remove surface dirt and excess oil. Massage 1–2 pumps over a wet face for about 30 seconds, rinse, and avoid the eye area.</x:v>
      </x:c>
    </x:row>
    <x:row r="30" ht="82" customHeight="1">
      <x:c r="A30" s="93" t="n">
        <x:v>27</x:v>
      </x:c>
      <x:c r="B30" s="90" t="str">
        <x:f>'Revealed Data'!$B$43</x:f>
        <x:v>G020-B</x:v>
      </x:c>
      <x:c r="C30" s="90" t="str">
        <x:f>'Revealed Data'!$C$43</x:f>
        <x:v>G020</x:v>
      </x:c>
      <x:c r="D30" s="90" t="str">
        <x:f>'Revealed Data'!$D$43</x:f>
        <x:v>MV-CLEAN-001</x:v>
      </x:c>
      <x:c r="E30" s="90" t="str">
        <x:f>'Revealed Data'!$F$43</x:f>
        <x:v>es-MX</x:v>
      </x:c>
      <x:c r="F30" s="90" t="str">
        <x:f>'Revealed Data'!$G$43</x:f>
        <x:v>product_listing</x:v>
      </x:c>
      <x:c r="G30" s="90" t="str">
        <x:f>'Revealed Data'!$I$43</x:f>
        <x:v>LocalizeFlow</x:v>
      </x:c>
      <x:c r="H30" s="90" t="str">
        <x:f>'Revealed Data'!$K$43</x:f>
        <x:v>Fail</x:v>
      </x:c>
      <x:c r="I30" s="92" t="n">
        <x:f>'Revealed Data'!$T$43</x:f>
        <x:v>4.142857142857143</x:v>
      </x:c>
      <x:c r="J30" s="90" t="n">
        <x:f>'Revealed Data'!$S$43</x:f>
        <x:v>2</x:v>
      </x:c>
      <x:c r="K30" s="90" t="n">
        <x:f>'Revealed Data'!$U$43</x:f>
        <x:v>2</x:v>
      </x:c>
      <x:c r="L30" s="90" t="n">
        <x:f>'Revealed Data'!$V$43</x:f>
        <x:v>6</x:v>
      </x:c>
      <x:c r="M30" s="94" t="str">
        <x:f>IF(H30="Fail","Fact Accuracy=Fail",IF(J30&lt;=2,"Publishability≤2",IF(I30&lt;=3,"Mean Score≤3","")))</x:f>
        <x:v>Fact Accuracy=Fail</x:v>
      </x:c>
      <x:c r="N30" s="95" t="str">
        <x:f>'Revealed Data'!$Z$43</x:f>
        <x:v>Unsupported packaging</x:v>
      </x:c>
      <x:c r="O30" s="95" t="str">
        <x:f>'Revealed Data'!$AA$43</x:f>
        <x:v>西语自然且信息完整，但PET瓶材质无事实参考依据；删除或核验材质并补结构化AI字段。</x:v>
      </x:c>
      <x:c r="P30" s="95" t="str">
        <x:f>'Revealed Data'!$J$43</x:f>
        <x:v>TÍTULO: Mirevane Botanics Limpiador facial, 120 mL
PUNTO 1: Sin fragancia añadida ni tensioactivos con sulfatos.
PUNTO 2: Formulado con glicerina, glicinato de cocoilo de sodio y pantenol.
PUNTO 3: Ayuda a retirar la suciedad superficial y el exceso de grasa, dejando una sensación cómoda.
PUNTO 4: Masajea de 1 a 2 dosis sobre el rostro húmedo durante unos 30 segundos, enjuaga y evita el contorno de ojos.
PUNTO 5: Presentado en envase PET con bomba de 120 mL.
DESCRIPCIÓN: Un inicio claro y sin fragancia añadida para tu rutina. Sin fragancia añadida ni tensioactivos con sulfatos; ayuda a retirar la suciedad superficial y el exceso de grasa. Masajea de 1 a 2 dosis sobre el rostro húmedo durante unos 30 segundos, enjuaga y evita el contorno de ojos.</x:v>
      </x:c>
    </x:row>
    <x:row r="31" ht="82" customHeight="1">
      <x:c r="A31" s="93" t="n">
        <x:v>28</x:v>
      </x:c>
      <x:c r="B31" s="90" t="str">
        <x:f>'Revealed Data'!$B$47</x:f>
        <x:v>G022-B</x:v>
      </x:c>
      <x:c r="C31" s="90" t="str">
        <x:f>'Revealed Data'!$C$47</x:f>
        <x:v>G022</x:v>
      </x:c>
      <x:c r="D31" s="90" t="str">
        <x:f>'Revealed Data'!$D$47</x:f>
        <x:v>MV-SERUM-001</x:v>
      </x:c>
      <x:c r="E31" s="90" t="str">
        <x:f>'Revealed Data'!$F$47</x:f>
        <x:v>es-MX</x:v>
      </x:c>
      <x:c r="F31" s="90" t="str">
        <x:f>'Revealed Data'!$G$47</x:f>
        <x:v>product_listing</x:v>
      </x:c>
      <x:c r="G31" s="90" t="str">
        <x:f>'Revealed Data'!$I$47</x:f>
        <x:v>LocalizeFlow</x:v>
      </x:c>
      <x:c r="H31" s="90" t="str">
        <x:f>'Revealed Data'!$K$47</x:f>
        <x:v>Fail</x:v>
      </x:c>
      <x:c r="I31" s="92" t="n">
        <x:f>'Revealed Data'!$T$47</x:f>
        <x:v>4.142857142857143</x:v>
      </x:c>
      <x:c r="J31" s="90" t="n">
        <x:f>'Revealed Data'!$S$47</x:f>
        <x:v>2</x:v>
      </x:c>
      <x:c r="K31" s="90" t="n">
        <x:f>'Revealed Data'!$U$47</x:f>
        <x:v>2</x:v>
      </x:c>
      <x:c r="L31" s="90" t="n">
        <x:f>'Revealed Data'!$V$47</x:f>
        <x:v>6</x:v>
      </x:c>
      <x:c r="M31" s="94" t="str">
        <x:f>IF(H31="Fail","Fact Accuracy=Fail",IF(J31&lt;=2,"Publishability≤2",IF(I31&lt;=3,"Mean Score≤3","")))</x:f>
        <x:v>Fact Accuracy=Fail</x:v>
      </x:c>
      <x:c r="N31" s="95" t="str">
        <x:f>'Revealed Data'!$Z$47</x:f>
        <x:v>Unsupported packaging</x:v>
      </x:c>
      <x:c r="O31" s="95" t="str">
        <x:f>'Revealed Data'!$AA$47</x:f>
        <x:v>Listing结构与西语质量良好，但不透明PP泵瓶材质未获事实参考支持；需修正包装信息。</x:v>
      </x:c>
      <x:c r="P31" s="95" t="str">
        <x:f>'Revealed Data'!$J$47</x:f>
        <x:v>TÍTULO: Mirevane Botanics Sérum hidratante, 30 mL
PUNTO 1: Gel de base acuosa sin fragancia añadida.
PUNTO 2: Formulado con glicerina, hialuronato de sodio y pantenol.
PUNTO 3: Ayuda a que la piel se sienta hidratada y suave.
PUNTO 4: Después de limpiar el rostro, aplica de 1 a 2 dosis en cara y cuello, continúa con tu crema hidratante y evita el contorno de ojos.
PUNTO 5: Presentado en envase opaco de PP con bomba de 30 mL.
DESCRIPCIÓN: Hidratación ligera antes de tu crema. Un gel de base acuosa con glicerina, hialuronato de sodio y pantenol que ayuda a que la piel se sienta hidratada. Después de limpiar el rostro, aplica de 1 a 2 dosis en cara y cuello, continúa con tu crema hidratante y evita el contorno de ojos.</x:v>
      </x:c>
    </x:row>
    <x:row r="32" ht="82" customHeight="1">
      <x:c r="A32" s="93" t="n">
        <x:v>29</x:v>
      </x:c>
      <x:c r="B32" s="90" t="str">
        <x:f>'Revealed Data'!$B$56</x:f>
        <x:v>G027-A</x:v>
      </x:c>
      <x:c r="C32" s="90" t="str">
        <x:f>'Revealed Data'!$C$56</x:f>
        <x:v>G027</x:v>
      </x:c>
      <x:c r="D32" s="90" t="str">
        <x:f>'Revealed Data'!$D$56</x:f>
        <x:v>MV-HAND-001</x:v>
      </x:c>
      <x:c r="E32" s="90" t="str">
        <x:f>'Revealed Data'!$F$56</x:f>
        <x:v>es-MX</x:v>
      </x:c>
      <x:c r="F32" s="90" t="str">
        <x:f>'Revealed Data'!$G$56</x:f>
        <x:v>product_listing</x:v>
      </x:c>
      <x:c r="G32" s="90" t="str">
        <x:f>'Revealed Data'!$I$56</x:f>
        <x:v>LocalizeFlow</x:v>
      </x:c>
      <x:c r="H32" s="90" t="str">
        <x:f>'Revealed Data'!$K$56</x:f>
        <x:v>Fail</x:v>
      </x:c>
      <x:c r="I32" s="92" t="n">
        <x:f>'Revealed Data'!$T$56</x:f>
        <x:v>4.142857142857143</x:v>
      </x:c>
      <x:c r="J32" s="90" t="n">
        <x:f>'Revealed Data'!$S$56</x:f>
        <x:v>2</x:v>
      </x:c>
      <x:c r="K32" s="90" t="n">
        <x:f>'Revealed Data'!$U$56</x:f>
        <x:v>2</x:v>
      </x:c>
      <x:c r="L32" s="90" t="n">
        <x:f>'Revealed Data'!$V$56</x:f>
        <x:v>6</x:v>
      </x:c>
      <x:c r="M32" s="94" t="str">
        <x:f>IF(H32="Fail","Fact Accuracy=Fail",IF(J32&lt;=2,"Publishability≤2",IF(I32&lt;=3,"Mean Score≤3","")))</x:f>
        <x:v>Fact Accuracy=Fail</x:v>
      </x:c>
      <x:c r="N32" s="95" t="str">
        <x:f>'Revealed Data'!$Z$56</x:f>
        <x:v>Packaging mismatch</x:v>
      </x:c>
      <x:c r="O32" s="95" t="str">
        <x:f>'Revealed Data'!$AA$56</x:f>
        <x:v>Listing结构和西语表现优秀，但铝管及PP盖材质与事实参考的软管描述不一致；需修正。</x:v>
      </x:c>
      <x:c r="P32" s="95" t="str">
        <x:f>'Revealed Data'!$J$56</x:f>
        <x:v>TÍTULO: Mirevane Botanics Crema para manos sin fragancia añadida, 60 mL
PUNTO 1: Sin fragancia añadida y en tubo de aluminio.
PUNTO 2: Formulado con glicerina, manteca de karité, pantenol y alantoína.
PUNTO 3: Ayuda a que las manos se sientan suaves e hidratadas después del lavado diario.
PUNTO 4: Masajea las manos y el contorno de las uñas según sea necesario; solo para uso externo.
PUNTO 5: Presentado en tubo de aluminio de 60 mL con tapa de PP.
DESCRIPCIÓN: Un paso sencillo para las manos después del lavado. Con glicerina, manteca de karité, pantenol y alantoína para ayudar a que las manos se sientan suaves e hidratadas. Masajea las manos y el contorno de las uñas según sea necesario; solo para uso externo.</x:v>
      </x:c>
    </x:row>
    <x:row r="33" ht="82" customHeight="1">
      <x:c r="A33" s="93" t="n">
        <x:v>30</x:v>
      </x:c>
      <x:c r="B33" s="90" t="str">
        <x:f>'Revealed Data'!$B$61</x:f>
        <x:v>G029-B</x:v>
      </x:c>
      <x:c r="C33" s="90" t="str">
        <x:f>'Revealed Data'!$C$61</x:f>
        <x:v>G029</x:v>
      </x:c>
      <x:c r="D33" s="90" t="str">
        <x:f>'Revealed Data'!$D$61</x:f>
        <x:v>MV-CREAM-001</x:v>
      </x:c>
      <x:c r="E33" s="90" t="str">
        <x:f>'Revealed Data'!$F$61</x:f>
        <x:v>es-MX</x:v>
      </x:c>
      <x:c r="F33" s="90" t="str">
        <x:f>'Revealed Data'!$G$61</x:f>
        <x:v>product_listing</x:v>
      </x:c>
      <x:c r="G33" s="90" t="str">
        <x:f>'Revealed Data'!$I$61</x:f>
        <x:v>LocalizeFlow</x:v>
      </x:c>
      <x:c r="H33" s="90" t="str">
        <x:f>'Revealed Data'!$K$61</x:f>
        <x:v>Fail</x:v>
      </x:c>
      <x:c r="I33" s="92" t="n">
        <x:f>'Revealed Data'!$T$61</x:f>
        <x:v>4.142857142857143</x:v>
      </x:c>
      <x:c r="J33" s="90" t="n">
        <x:f>'Revealed Data'!$S$61</x:f>
        <x:v>2</x:v>
      </x:c>
      <x:c r="K33" s="90" t="n">
        <x:f>'Revealed Data'!$U$61</x:f>
        <x:v>2</x:v>
      </x:c>
      <x:c r="L33" s="90" t="n">
        <x:f>'Revealed Data'!$V$61</x:f>
        <x:v>6</x:v>
      </x:c>
      <x:c r="M33" s="94" t="str">
        <x:f>IF(H33="Fail","Fact Accuracy=Fail",IF(J33&lt;=2,"Publishability≤2",IF(I33&lt;=3,"Mean Score≤3","")))</x:f>
        <x:v>Fact Accuracy=Fail</x:v>
      </x:c>
      <x:c r="N33" s="95" t="str">
        <x:f>'Revealed Data'!$Z$61</x:f>
        <x:v>Unsupported packaging</x:v>
      </x:c>
      <x:c r="O33" s="95" t="str">
        <x:f>'Revealed Data'!$AA$61</x:f>
        <x:v>信息结构与西语质量优秀，但PP罐及内盖未获事实参考支持；修正包装并补AI字段。</x:v>
      </x:c>
      <x:c r="P33" s="95" t="str">
        <x:f>'Revealed Data'!$J$61</x:f>
        <x:v>TÍTULO: Mirevane Botanics Crema hidratante facial sin fragancia añadida, 50 mL
PUNTO 1: Textura en crema sin fragancia añadida.
PUNTO 2: Formulado con glicerina, escualano, pantenol y beta-glucano.
PUNTO 3: Ayuda a que la piel se sienta suave e hidratada.
PUNTO 4: Aplícala en el rostro y cuello limpios; durante el día, continúa con protector solar.
PUNTO 5: Presentado en tarro de PP de 50 mL con tapa interior.
DESCRIPCIÓN: Un paso hidratante sin fragancia añadida. Con escualano, pantenol y beta-glucano para ayudar a que la piel se sienta suave e hidratada. Aplícala en el rostro y cuello limpios; durante el día, continúa con protector solar.</x:v>
      </x:c>
    </x:row>
  </x:sheetData>
  <x:mergeCells>
    <x:mergeCell ref="A1:P1"/>
    <x:mergeCell ref="A2:P2"/>
  </x:mergeCells>
  <x:pageMargins left="0.7" right="0.7" top="0.75" bottom="0.75" header="0.3" footer="0.3"/>
  <x:tableParts count="1">
    <x:tablePart xmlns:r="http://schemas.openxmlformats.org/officeDocument/2006/relationships" r:id="R954be9e02c844781"/>
  </x:tableParts>
</x:worksheet>
</file>