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929f63559a4264" /></Relationships>
</file>

<file path=xl/workbook.xml><?xml version="1.0" encoding="utf-8"?>
<x:workbook xmlns:x="http://schemas.openxmlformats.org/spreadsheetml/2006/main">
  <x:sheets>
    <x:sheet xmlns:r="http://schemas.openxmlformats.org/officeDocument/2006/relationships" name="Start Here" sheetId="1" r:id="R5e86ebe331804460"/>
    <x:sheet xmlns:r="http://schemas.openxmlformats.org/officeDocument/2006/relationships" name="Dashboard" sheetId="2" r:id="R5991ad8fd9e5446d"/>
    <x:sheet xmlns:r="http://schemas.openxmlformats.org/officeDocument/2006/relationships" name="Blind Review" sheetId="3" r:id="R702a64c7ce244a63"/>
    <x:sheet xmlns:r="http://schemas.openxmlformats.org/officeDocument/2006/relationships" name="Pair Progress" sheetId="4" r:id="Ree6a0935e0b84443"/>
    <x:sheet xmlns:r="http://schemas.openxmlformats.org/officeDocument/2006/relationships" name="Failure Log" sheetId="5" r:id="R23236d3e76d0460c"/>
    <x:sheet xmlns:r="http://schemas.openxmlformats.org/officeDocument/2006/relationships" name="Rubric" sheetId="6" r:id="Re9e04871c6fc447a"/>
    <x:sheet xmlns:r="http://schemas.openxmlformats.org/officeDocument/2006/relationships" name="Fact Reference" sheetId="7" r:id="R12625cfe24504066"/>
    <x:sheet xmlns:r="http://schemas.openxmlformats.org/officeDocument/2006/relationships" name="Coverage QA" sheetId="8" r:id="R1a2b6cdfe79c4b7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
    <x:numFmt numFmtId="202" formatCode="yyyy-mm-dd"/>
  </x:numFmts>
  <x:fonts count="6">
    <x:font>
      <x:sz val="11"/>
      <x:name val="Carlito"/>
    </x:font>
    <x:font>
      <x:b/>
      <x:sz val="18"/>
      <x:color rgb="FFFFFFFF"/>
      <x:name val="Carlito"/>
    </x:font>
    <x:font>
      <x:b/>
      <x:sz val="11"/>
      <x:color rgb="FF7A5200"/>
      <x:name val="Carlito"/>
    </x:font>
    <x:font>
      <x:b/>
      <x:sz val="11"/>
      <x:color rgb="FFFFFFFF"/>
      <x:name val="Carlito"/>
    </x:font>
    <x:font>
      <x:b/>
      <x:sz val="11"/>
      <x:color rgb="FF173F38"/>
      <x:name val="Carlito"/>
    </x:font>
    <x:font>
      <x:b/>
      <x:sz val="16"/>
      <x:color rgb="FF173F38"/>
      <x:name val="Carlito"/>
    </x:font>
  </x:fonts>
  <x:fills count="7">
    <x:fill>
      <x:patternFill patternType="none"/>
    </x:fill>
    <x:fill>
      <x:patternFill patternType="gray125"/>
    </x:fill>
    <x:fill>
      <x:patternFill patternType="solid">
        <x:fgColor rgb="FF2F6F64"/>
      </x:patternFill>
    </x:fill>
    <x:fill>
      <x:patternFill patternType="solid">
        <x:fgColor rgb="FFFFF3CD"/>
      </x:patternFill>
    </x:fill>
    <x:fill>
      <x:patternFill patternType="solid">
        <x:fgColor rgb="FF173F38"/>
      </x:patternFill>
    </x:fill>
    <x:fill>
      <x:patternFill patternType="solid">
        <x:fgColor rgb="FFDDF3E5"/>
      </x:patternFill>
    </x:fill>
    <x:fill>
      <x:patternFill patternType="solid">
        <x:fgColor rgb="FFE8ECEB"/>
      </x:patternFill>
    </x:fill>
  </x:fills>
  <x:borders count="13">
    <x:border/>
    <x:border>
      <x:right style="thin">
        <x:color rgb="FFA7B8B3"/>
      </x:right>
    </x:border>
    <x:border>
      <x:left style="thin">
        <x:color rgb="FFA7B8B3"/>
      </x:left>
    </x:border>
    <x:border>
      <x:right style="thin">
        <x:color rgb="FFD6DEDB"/>
      </x:right>
      <x:bottom style="thin">
        <x:color rgb="FFD6DEDB"/>
      </x:bottom>
    </x:border>
    <x:border>
      <x:left style="thin">
        <x:color rgb="FFD6DEDB"/>
      </x:left>
      <x:right style="thin">
        <x:color rgb="FFD6DEDB"/>
      </x:right>
      <x:bottom style="thin">
        <x:color rgb="FFD6DEDB"/>
      </x:bottom>
    </x:border>
    <x:border>
      <x:left style="thin">
        <x:color rgb="FFD6DEDB"/>
      </x:left>
      <x:right style="thin">
        <x:color rgb="FFA7B8B3"/>
      </x:right>
      <x:bottom style="thin">
        <x:color rgb="FFD6DEDB"/>
      </x:bottom>
    </x:border>
    <x:border>
      <x:right style="thin">
        <x:color rgb="FFD6DEDB"/>
      </x:right>
      <x:top style="thin">
        <x:color rgb="FFD6DEDB"/>
      </x:top>
      <x:bottom style="thin">
        <x:color rgb="FFD6DEDB"/>
      </x:bottom>
    </x:border>
    <x:border>
      <x:left style="thin">
        <x:color rgb="FFD6DEDB"/>
      </x:left>
      <x:right style="thin">
        <x:color rgb="FFD6DEDB"/>
      </x:right>
      <x:top style="thin">
        <x:color rgb="FFD6DEDB"/>
      </x:top>
      <x:bottom style="thin">
        <x:color rgb="FFD6DEDB"/>
      </x:bottom>
    </x:border>
    <x:border>
      <x:left style="thin">
        <x:color rgb="FFD6DEDB"/>
      </x:left>
      <x:right style="thin">
        <x:color rgb="FFA7B8B3"/>
      </x:right>
      <x:top style="thin">
        <x:color rgb="FFD6DEDB"/>
      </x:top>
      <x:bottom style="thin">
        <x:color rgb="FFD6DEDB"/>
      </x:bottom>
    </x:border>
    <x:border>
      <x:right style="thin">
        <x:color rgb="FFD6DEDB"/>
      </x:right>
      <x:top style="thin">
        <x:color rgb="FFD6DEDB"/>
      </x:top>
    </x:border>
    <x:border>
      <x:left style="thin">
        <x:color rgb="FFD6DEDB"/>
      </x:left>
      <x:right style="thin">
        <x:color rgb="FFD6DEDB"/>
      </x:right>
      <x:top style="thin">
        <x:color rgb="FFD6DEDB"/>
      </x:top>
    </x:border>
    <x:border>
      <x:left style="thin">
        <x:color rgb="FFD6DEDB"/>
      </x:left>
      <x:right style="thin">
        <x:color rgb="FFA7B8B3"/>
      </x:right>
      <x:top style="thin">
        <x:color rgb="FFD6DEDB"/>
      </x:top>
    </x:border>
    <x:border>
      <x:left style="thin">
        <x:color rgb="FFA7B8B3"/>
      </x:left>
      <x:right style="thin">
        <x:color rgb="FFA7B8B3"/>
      </x:right>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5" borderId="0" xfId="0" applyNumberFormat="1" applyFont="1" applyFill="1" applyBorder="1" applyAlignment="1">
      <x:alignment horizontal="center"/>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0" borderId="4" xfId="0" applyNumberFormat="1" applyFont="1" applyFill="1" applyBorder="1"/>
    <x:xf numFmtId="0" fontId="3" fillId="4" borderId="5" xfId="0" applyNumberFormat="1" applyFont="1" applyFill="1" applyBorder="1" applyAlignment="1">
      <x:alignment horizontal="center" vertical="center" wrapText="1"/>
    </x:xf>
    <x:xf numFmtId="0" fontId="4" fillId="5" borderId="6" xfId="0" applyNumberFormat="1" applyFont="1" applyFill="1" applyBorder="1" applyAlignment="1">
      <x:alignment vertical="top"/>
    </x:xf>
    <x:xf numFmtId="0" fontId="0" fillId="0" borderId="7" xfId="0" applyNumberFormat="1" applyFont="1" applyFill="1" applyBorder="1" applyAlignment="1">
      <x:alignment vertical="top" wrapText="1"/>
    </x:xf>
    <x:xf numFmtId="0" fontId="0" fillId="0" borderId="7" xfId="0" applyNumberFormat="1" applyFont="1" applyFill="1" applyBorder="1"/>
    <x:xf numFmtId="0" fontId="4" fillId="5" borderId="7" xfId="0" applyNumberFormat="1" applyFont="1" applyFill="1" applyBorder="1"/>
    <x:xf numFmtId="0" fontId="0" fillId="0" borderId="8" xfId="0" applyNumberFormat="1" applyFont="1" applyFill="1" applyBorder="1" applyAlignment="1">
      <x:alignment vertical="top" wrapText="1"/>
    </x:xf>
    <x:xf numFmtId="0" fontId="0" fillId="0" borderId="8" xfId="0" applyNumberFormat="1" applyFont="1" applyFill="1" applyBorder="1"/>
    <x:xf numFmtId="0" fontId="0" fillId="0" borderId="6" xfId="0" applyNumberFormat="1" applyFont="1" applyFill="1" applyBorder="1"/>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4" fillId="5" borderId="6" xfId="0" applyNumberFormat="1" applyFont="1" applyFill="1" applyBorder="1" applyAlignment="1">
      <x:alignment horizontal="center"/>
    </x:xf>
    <x:xf numFmtId="0" fontId="4" fillId="5" borderId="9" xfId="0" applyNumberFormat="1" applyFont="1" applyFill="1" applyBorder="1" applyAlignment="1">
      <x:alignment horizontal="center"/>
    </x:xf>
    <x:xf numFmtId="0" fontId="0" fillId="0" borderId="10"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3" fillId="4" borderId="12" xfId="0" applyNumberFormat="1" applyFont="1" applyFill="1" applyBorder="1"/>
    <x:xf numFmtId="0" fontId="3" fillId="4" borderId="12" xfId="0" applyNumberFormat="1" applyFont="1" applyFill="1" applyBorder="1" applyAlignment="1">
      <x:alignment wrapText="1"/>
    </x:xf>
    <x:xf numFmtId="0" fontId="3" fillId="4" borderId="12" xfId="0" applyNumberFormat="1" applyFont="1" applyFill="1" applyBorder="1" applyAlignment="1">
      <x:alignment horizontal="center" wrapText="1"/>
    </x:xf>
    <x:xf numFmtId="0" fontId="3" fillId="4" borderId="12" xfId="0" applyNumberFormat="1" applyFont="1" applyFill="1" applyBorder="1" applyAlignment="1">
      <x:alignment horizontal="center" vertical="center" wrapText="1"/>
    </x:xf>
    <x:xf numFmtId="0" fontId="5" fillId="5" borderId="0" xfId="0" applyNumberFormat="1" applyFont="1" applyFill="1" applyBorder="1"/>
    <x:xf numFmtId="0" fontId="5" fillId="5" borderId="0" xfId="0" applyNumberFormat="1" applyFont="1" applyFill="1" applyBorder="1" applyAlignment="1">
      <x:alignment horizontal="center"/>
    </x:xf>
    <x:xf numFmtId="200" fontId="5" fillId="5" borderId="0" xfId="0" applyNumberFormat="1" applyFont="1" applyFill="1" applyBorder="1" applyAlignment="1">
      <x:alignment horizontal="center"/>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3" borderId="0" xfId="0" applyNumberFormat="1" applyFont="1" applyFill="1" applyBorder="1" applyAlignment="1">
      <x:alignment horizontal="center" vertical="top" wrapText="1"/>
    </x:xf>
    <x:xf numFmtId="0" fontId="0" fillId="6" borderId="0" xfId="0" applyNumberFormat="1" applyFont="1" applyFill="1" applyBorder="1" applyAlignment="1">
      <x:alignment horizontal="center" vertical="top" wrapText="1"/>
    </x:xf>
    <x:xf numFmtId="201" fontId="0" fillId="6" borderId="0" xfId="0" applyNumberFormat="1" applyFont="1" applyFill="1" applyBorder="1" applyAlignment="1">
      <x:alignment horizontal="center" vertical="top" wrapText="1"/>
    </x:xf>
    <x:xf numFmtId="202" fontId="0" fillId="3" borderId="0" xfId="0" applyNumberFormat="1" applyFont="1" applyFill="1" applyBorder="1" applyAlignment="1">
      <x:alignment horizontal="center" vertical="top" wrapText="1"/>
    </x:xf>
    <x:xf numFmtId="201" fontId="0" fillId="6" borderId="0" xfId="0" applyNumberFormat="1" applyFont="1" applyFill="1" applyBorder="1" applyAlignment="1">
      <x:alignment vertical="top"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cellXfs>
  <x:cellStyles count="1">
    <x:cellStyle name="Normal" xfId="0"/>
  </x:cellStyles>
  <x:dxfs count="11">
    <x:dxf>
      <x:font>
        <x:color rgb="FF173F38"/>
      </x:font>
      <x:fill>
        <x:patternFill>
          <x:bgColor rgb="FFD9EFD9"/>
        </x:patternFill>
      </x:fill>
    </x:dxf>
    <x:dxf>
      <x:font>
        <x:b/>
        <x:color rgb="FF9B1C1C"/>
      </x:font>
      <x:fill>
        <x:patternFill>
          <x:bgColor rgb="FFFDE2E1"/>
        </x:patternFill>
      </x:fill>
    </x:dxf>
    <x:dxf>
      <x:font>
        <x:b/>
        <x:color rgb="FF173F38"/>
      </x:font>
      <x:fill>
        <x:patternFill>
          <x:bgColor rgb="FFD9EFD9"/>
        </x:patternFill>
      </x:fill>
    </x:dxf>
    <x:dxf>
      <x:font>
        <x:b/>
        <x:color rgb="FF9B1C1C"/>
      </x:font>
      <x:fill>
        <x:patternFill>
          <x:bgColor rgb="FFFDE2E1"/>
        </x:patternFill>
      </x:fill>
    </x:dxf>
    <x:dxf>
      <x:font>
        <x:b/>
        <x:color rgb="FF7A5200"/>
      </x:font>
      <x:fill>
        <x:patternFill>
          <x:bgColor rgb="FFFFF3CD"/>
        </x:patternFill>
      </x:fill>
    </x:dxf>
    <x:dxf>
      <x:font>
        <x:b/>
        <x:color rgb="FF173F38"/>
      </x:font>
      <x:fill>
        <x:patternFill>
          <x:bgColor rgb="FFD9EFD9"/>
        </x:patternFill>
      </x:fill>
    </x:dxf>
    <x:dxf>
      <x:font>
        <x:b/>
        <x:color rgb="FF9B1C1C"/>
      </x:font>
      <x:fill>
        <x:patternFill>
          <x:bgColor rgb="FFFDE2E1"/>
        </x:patternFill>
      </x:fill>
    </x:dxf>
    <x:dxf>
      <x:font>
        <x:b/>
        <x:color rgb="FF173F38"/>
      </x:font>
      <x:fill>
        <x:patternFill>
          <x:bgColor rgb="FFD9EFD9"/>
        </x:patternFill>
      </x:fill>
    </x:dxf>
    <x:dxf>
      <x:font>
        <x:b/>
        <x:color rgb="FF173F38"/>
      </x:font>
      <x:fill>
        <x:patternFill>
          <x:bgColor rgb="FFD9EFD9"/>
        </x:patternFill>
      </x:fill>
    </x:dxf>
    <x:dxf>
      <x:font>
        <x:b/>
        <x:color rgb="FF173F38"/>
      </x:font>
      <x:fill>
        <x:patternFill>
          <x:bgColor rgb="FFD9EFD9"/>
        </x:patternFill>
      </x:fill>
    </x:dxf>
    <x:dxf>
      <x:font>
        <x:b/>
        <x:color rgb="FF7A5200"/>
      </x:font>
      <x:fill>
        <x:patternFill>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ee1146c219402c" /><Relationship Type="http://schemas.openxmlformats.org/officeDocument/2006/relationships/theme" Target="/xl/theme/theme1.xml" Id="R9299a7747e904920" /><Relationship Type="http://schemas.openxmlformats.org/officeDocument/2006/relationships/sharedStrings" Target="/xl/sharedStrings.xml" Id="Rb0bbaf47e29840fe" /><Relationship Type="http://schemas.openxmlformats.org/officeDocument/2006/relationships/worksheet" Target="/xl/worksheets/sheet1.xml" Id="R5e86ebe331804460" /><Relationship Type="http://schemas.openxmlformats.org/officeDocument/2006/relationships/worksheet" Target="/xl/worksheets/sheet2.xml" Id="R5991ad8fd9e5446d" /><Relationship Type="http://schemas.openxmlformats.org/officeDocument/2006/relationships/worksheet" Target="/xl/worksheets/sheet3.xml" Id="R702a64c7ce244a63" /><Relationship Type="http://schemas.openxmlformats.org/officeDocument/2006/relationships/worksheet" Target="/xl/worksheets/sheet4.xml" Id="Ree6a0935e0b84443" /><Relationship Type="http://schemas.openxmlformats.org/officeDocument/2006/relationships/worksheet" Target="/xl/worksheets/sheet5.xml" Id="R23236d3e76d0460c" /><Relationship Type="http://schemas.openxmlformats.org/officeDocument/2006/relationships/worksheet" Target="/xl/worksheets/sheet6.xml" Id="Re9e04871c6fc447a" /><Relationship Type="http://schemas.openxmlformats.org/officeDocument/2006/relationships/worksheet" Target="/xl/worksheets/sheet7.xml" Id="R12625cfe24504066" /><Relationship Type="http://schemas.openxmlformats.org/officeDocument/2006/relationships/worksheet" Target="/xl/worksheets/sheet8.xml" Id="R1a2b6cdfe79c4b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d17aeb873d2f4a7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Blind Review Completion by Language (Candidates)</a:t>
            </a:r>
          </a:p>
        </c:rich>
      </c:tx>
    </c:title>
    <c:plotArea>
      <c:barChart>
        <c:barDir val="col"/>
        <c:varyColors val="0"/>
        <c:ser>
          <c:idx val="0"/>
          <c:order val="0"/>
          <c:tx>
            <c:v>Completed</c:v>
          </c:tx>
          <c:cat>
            <c:strRef>
              <c:f>'Dashboard'!$A$9:$A$10</c:f>
              <c:strCache>
                <c:ptCount val="0"/>
              </c:strCache>
            </c:strRef>
          </c:cat>
          <c:val>
            <c:numRef>
              <c:f>'Dashboard'!$B$9:$B$10</c:f>
              <c:numCache>
                <c:formatCode>0</c:formatCode>
                <c:ptCount val="0"/>
              </c:numCache>
            </c:numRef>
          </c:val>
        </c:ser>
        <c:ser>
          <c:idx val="1"/>
          <c:order val="1"/>
          <c:tx>
            <c:v>Pending</c:v>
          </c:tx>
          <c:cat>
            <c:strRef>
              <c:f>'Dashboard'!$A$9:$A$10</c:f>
              <c:strCache>
                <c:ptCount val="0"/>
              </c:strCache>
            </c:strRef>
          </c:cat>
          <c:val>
            <c:numRef>
              <c:f>'Dashboard'!$C$9:$C$10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3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7aeb873d2f4a75"/>
        </a:graphicData>
      </a:graphic>
    </xdr:graphicFrame>
    <xdr:clientData/>
  </xdr:twoCellAnchor>
</xdr:wsDr>
</file>

<file path=xl/tables/table1.xml><?xml version="1.0" encoding="utf-8"?>
<x:table xmlns:x="http://schemas.openxmlformats.org/spreadsheetml/2006/main" id="1" name="BlindReviewTable" displayName="BlindReviewTable" ref="A3:Y63" headerRowCount="1" totalsRowCount="0" totalsRowShown="0">
  <x:tableColumns count="25">
    <x:tableColumn id="1" name="Blind Order"/>
    <x:tableColumn id="2" name="Candidate ID"/>
    <x:tableColumn id="3" name="Group ID"/>
    <x:tableColumn id="4" name="SKU"/>
    <x:tableColumn id="5" name="Language"/>
    <x:tableColumn id="6" name="Content Type"/>
    <x:tableColumn id="7" name="Candidate"/>
    <x:tableColumn id="8" name="Anonymous Content"/>
    <x:tableColumn id="9" name="Fact Accuracy"/>
    <x:tableColumn id="10" name="Information Completeness"/>
    <x:tableColumn id="11" name="Language Naturalness"/>
    <x:tableColumn id="12" name="Cultural Fit"/>
    <x:tableColumn id="13" name="Brand Consistency"/>
    <x:tableColumn id="14" name="Platform Fit"/>
    <x:tableColumn id="15" name="Marketing Persuasiveness"/>
    <x:tableColumn id="16" name="Publishability"/>
    <x:tableColumn id="17" name="Modification Count"/>
    <x:tableColumn id="18" name="Review Minutes"/>
    <x:tableColumn id="19" name="Review Date"/>
    <x:tableColumn id="20" name="Reviewer ID"/>
    <x:tableColumn id="21" name="Review Status"/>
    <x:tableColumn id="22" name="Reviewer Comments"/>
    <x:tableColumn id="23" name="Failure Tags"/>
    <x:tableColumn id="24" name="Mean Score"/>
    <x:tableColumn id="25" name="Failure Flag"/>
  </x:tableColumns>
  <x:tableStyleInfo name="TableStyleMedium4" showFirstColumn="0" showLastColumn="0" showRowStripes="1" showColumnStripes="0"/>
</x:table>
</file>

<file path=xl/tables/table2.xml><?xml version="1.0" encoding="utf-8"?>
<x:table xmlns:x="http://schemas.openxmlformats.org/spreadsheetml/2006/main" id="2" name="PairProgressTable" displayName="PairProgressTable" ref="A3:R33" headerRowCount="1" totalsRowCount="0" totalsRowShown="0">
  <x:tableColumns count="18">
    <x:tableColumn id="1" name="Order"/>
    <x:tableColumn id="2" name="Group ID"/>
    <x:tableColumn id="3" name="SKU"/>
    <x:tableColumn id="4" name="Market"/>
    <x:tableColumn id="5" name="Language"/>
    <x:tableColumn id="6" name="Content Type"/>
    <x:tableColumn id="7" name="Candidate A ID"/>
    <x:tableColumn id="8" name="Candidate B ID"/>
    <x:tableColumn id="9" name="A Mean"/>
    <x:tableColumn id="10" name="B Mean"/>
    <x:tableColumn id="11" name="Blind Gap A-B"/>
    <x:tableColumn id="12" name="A Fact"/>
    <x:tableColumn id="13" name="B Fact"/>
    <x:tableColumn id="14" name="A Modifications"/>
    <x:tableColumn id="15" name="B Modifications"/>
    <x:tableColumn id="16" name="A Minutes"/>
    <x:tableColumn id="17" name="B Minutes"/>
    <x:tableColumn id="18" name="Pair Status"/>
  </x:tableColumns>
  <x:tableStyleInfo name="TableStyleMedium4" showFirstColumn="0" showLastColumn="0" showRowStripes="1" showColumnStripes="0"/>
</x:table>
</file>

<file path=xl/tables/table3.xml><?xml version="1.0" encoding="utf-8"?>
<x:table xmlns:x="http://schemas.openxmlformats.org/spreadsheetml/2006/main" id="3" name="FailureLogTable" displayName="FailureLogTable" ref="A3:N63" headerRowCount="1" totalsRowCount="0" totalsRowShown="0">
  <x:tableColumns count="14">
    <x:tableColumn id="1" name="Candidate ID"/>
    <x:tableColumn id="2" name="Group ID"/>
    <x:tableColumn id="3" name="SKU"/>
    <x:tableColumn id="4" name="Language"/>
    <x:tableColumn id="5" name="Content Type"/>
    <x:tableColumn id="6" name="Candidate"/>
    <x:tableColumn id="7" name="Fact Accuracy"/>
    <x:tableColumn id="8" name="Mean Score"/>
    <x:tableColumn id="9" name="Publishability"/>
    <x:tableColumn id="10" name="Modification Count"/>
    <x:tableColumn id="11" name="Review Minutes"/>
    <x:tableColumn id="12" name="Failure Flag"/>
    <x:tableColumn id="13" name="Failure Tags"/>
    <x:tableColumn id="14" name="Reviewer Comments"/>
  </x:tableColumns>
  <x:tableStyleInfo name="TableStyleMedium4" showFirstColumn="0" showLastColumn="0" showRowStripes="1" showColumnStripes="0"/>
</x:table>
</file>

<file path=xl/tables/table4.xml><?xml version="1.0" encoding="utf-8"?>
<x:table xmlns:x="http://schemas.openxmlformats.org/spreadsheetml/2006/main" id="4" name="FactReferenceTable" displayName="FactReferenceTable" ref="A3:L8" headerRowCount="1" totalsRowCount="0" totalsRowShown="0">
  <x:tableColumns count="12">
    <x:tableColumn id="1" name="SKU"/>
    <x:tableColumn id="2" name="Chinese Name"/>
    <x:tableColumn id="3" name="Category / Preferred Terms"/>
    <x:tableColumn id="4" name="Size"/>
    <x:tableColumn id="5" name="US Price"/>
    <x:tableColumn id="6" name="MX Price"/>
    <x:tableColumn id="7" name="Verified Features"/>
    <x:tableColumn id="8" name="Selected Ingredients"/>
    <x:tableColumn id="9" name="Allowed Benefit Boundary"/>
    <x:tableColumn id="10" name="Usage"/>
    <x:tableColumn id="11" name="Prohibited Claims"/>
    <x:tableColumn id="12" name="Sourc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65c5c3c5dbb04f9c" /></Relationships>
</file>

<file path=xl/worksheets/_rels/sheet3.xml.rels>&#65279;<?xml version="1.0" encoding="utf-8"?><Relationships xmlns="http://schemas.openxmlformats.org/package/2006/relationships"><Relationship Type="http://schemas.openxmlformats.org/officeDocument/2006/relationships/table" Target="/xl/tables/table1.xml" Id="Rf146d97b17ce4ca6" /></Relationships>
</file>

<file path=xl/worksheets/_rels/sheet4.xml.rels>&#65279;<?xml version="1.0" encoding="utf-8"?><Relationships xmlns="http://schemas.openxmlformats.org/package/2006/relationships"><Relationship Type="http://schemas.openxmlformats.org/officeDocument/2006/relationships/table" Target="/xl/tables/table2.xml" Id="R209dc7de67ec4b04" /></Relationships>
</file>

<file path=xl/worksheets/_rels/sheet5.xml.rels>&#65279;<?xml version="1.0" encoding="utf-8"?><Relationships xmlns="http://schemas.openxmlformats.org/package/2006/relationships"><Relationship Type="http://schemas.openxmlformats.org/officeDocument/2006/relationships/table" Target="/xl/tables/table3.xml" Id="R10cbe24560664e73" /></Relationships>
</file>

<file path=xl/worksheets/_rels/sheet7.xml.rels>&#65279;<?xml version="1.0" encoding="utf-8"?><Relationships xmlns="http://schemas.openxmlformats.org/package/2006/relationships"><Relationship Type="http://schemas.openxmlformats.org/officeDocument/2006/relationships/table" Target="/xl/tables/table4.xml" Id="Rce8772c9283a4ce8"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72" hidden="0" customWidth="1"/>
    <x:col min="3" max="3" width="4" hidden="0" customWidth="1"/>
    <x:col min="4" max="4" width="26" hidden="0" customWidth="1"/>
    <x:col min="5" max="5" width="36" hidden="0" customWidth="1"/>
    <x:col min="6" max="6" width="4" hidden="0" customWidth="1"/>
    <x:col min="7" max="7" width="4" hidden="0" customWidth="1"/>
    <x:col min="8" max="8" width="4" hidden="0" customWidth="1"/>
  </x:cols>
  <x:sheetData>
    <x:row r="1" ht="34" customHeight="1">
      <x:c r="A1" s="3" t="str">
        <x:v>LocalizeFlow｜Blind Human Evaluation</x:v>
      </x:c>
      <x:c r="B1" s="3"/>
      <x:c r="C1" s="3"/>
      <x:c r="D1" s="3"/>
      <x:c r="E1" s="3"/>
      <x:c r="F1" s="3"/>
      <x:c r="G1" s="3"/>
      <x:c r="H1" s="3"/>
    </x:row>
    <x:row r="2" ht="42" customHeight="1">
      <x:c r="A2" s="7" t="str">
        <x:v>状态：等待真实人工评分。工作簿不包含版本映射；请勿在完成 60 条候选评分前打开 admin_do_not_open_before_scoring 文件夹。</x:v>
      </x:c>
      <x:c r="B2" s="7"/>
      <x:c r="C2" s="7"/>
      <x:c r="D2" s="7"/>
      <x:c r="E2" s="7"/>
      <x:c r="F2" s="7"/>
      <x:c r="G2" s="7"/>
      <x:c r="H2" s="7"/>
    </x:row>
    <x:row r="4">
      <x:c r="A4" s="24" t="str">
        <x:v>项目</x:v>
      </x:c>
      <x:c r="B4" s="25" t="str">
        <x:v>说明</x:v>
      </x:c>
      <x:c r="C4" s="26"/>
      <x:c r="D4" s="25" t="str">
        <x:v>元数据</x:v>
      </x:c>
      <x:c r="E4" s="27" t="str">
        <x:v>值</x:v>
      </x:c>
    </x:row>
    <x:row r="5">
      <x:c r="A5" s="28" t="str">
        <x:v>评测规模</x:v>
      </x:c>
      <x:c r="B5" s="29" t="str">
        <x:v>5 个 SKU × 2 种语言 × 3 种内容类型 = 30 组；每组 A/B 两个匿名候选，共 60 条评分。</x:v>
      </x:c>
      <x:c r="C5" s="30"/>
      <x:c r="D5" s="31" t="str">
        <x:v>Randomization seed</x:v>
      </x:c>
      <x:c r="E5" s="32" t="n">
        <x:v>20260728</x:v>
      </x:c>
    </x:row>
    <x:row r="6">
      <x:c r="A6" s="28" t="str">
        <x:v>盲评原则</x:v>
      </x:c>
      <x:c r="B6" s="29" t="str">
        <x:v>只按候选 A/B 评分，不猜测版本来源；全部完成后再揭盲。</x:v>
      </x:c>
      <x:c r="C6" s="30"/>
      <x:c r="D6" s="31" t="str">
        <x:v>Generated at (UTC)</x:v>
      </x:c>
      <x:c r="E6" s="32" t="str">
        <x:v>UTC 2026-07-28T09:52:43.112Z</x:v>
      </x:c>
    </x:row>
    <x:row r="7">
      <x:c r="A7" s="28" t="str">
        <x:v>事实准确性</x:v>
      </x:c>
      <x:c r="B7" s="29" t="str">
        <x:v>只能填写 Pass 或 Fail；先对照 Fact Reference。</x:v>
      </x:c>
      <x:c r="C7" s="30"/>
      <x:c r="D7" s="31" t="str">
        <x:v>Group count</x:v>
      </x:c>
      <x:c r="E7" s="32" t="n">
        <x:v>30</x:v>
      </x:c>
    </x:row>
    <x:row r="8">
      <x:c r="A8" s="28" t="str">
        <x:v>7 个评分维度</x:v>
      </x:c>
      <x:c r="B8" s="29" t="str">
        <x:v>信息完整性、语言自然度、文化适配度、品牌一致性、平台适配度、营销说服力、可发布性，各 1–5 分。</x:v>
      </x:c>
      <x:c r="C8" s="30"/>
      <x:c r="D8" s="31" t="str">
        <x:v>Candidate count</x:v>
      </x:c>
      <x:c r="E8" s="32" t="n">
        <x:v>60</x:v>
      </x:c>
    </x:row>
    <x:row r="9">
      <x:c r="A9" s="28" t="str">
        <x:v>操作记录</x:v>
      </x:c>
      <x:c r="B9" s="29" t="str">
        <x:v>填写人工修改次数、审核分钟数、日期、评审人和评论。</x:v>
      </x:c>
      <x:c r="C9" s="30"/>
      <x:c r="D9" s="31" t="str">
        <x:v>Version labels in workbook</x:v>
      </x:c>
      <x:c r="E9" s="32" t="str">
        <x:v>Hidden</x:v>
      </x:c>
    </x:row>
    <x:row r="10">
      <x:c r="A10" s="28" t="str">
        <x:v>完成标准</x:v>
      </x:c>
      <x:c r="B10" s="29" t="str">
        <x:v>一行只有在所有必填评分已填写后才可将 Review Status 改为 Complete。</x:v>
      </x:c>
      <x:c r="C10" s="30"/>
      <x:c r="D10" s="30"/>
      <x:c r="E10" s="33"/>
    </x:row>
    <x:row r="11">
      <x:c r="A11" s="28" t="str">
        <x:v>失败案例</x:v>
      </x:c>
      <x:c r="B11" s="29" t="str">
        <x:v>Fact Accuracy=Fail、Publishability≤2 或 Mean Score≤3 的候选会在 Failure Log 标记。</x:v>
      </x:c>
      <x:c r="C11" s="30"/>
      <x:c r="D11" s="30"/>
      <x:c r="E11" s="33"/>
    </x:row>
    <x:row r="12">
      <x:c r="A12" s="34"/>
      <x:c r="B12" s="30"/>
      <x:c r="C12" s="30"/>
      <x:c r="D12" s="30"/>
      <x:c r="E12" s="33"/>
    </x:row>
    <x:row r="13">
      <x:c r="A13" s="35" t="str">
        <x:v>评分步骤</x:v>
      </x:c>
      <x:c r="B13" s="36" t="str">
        <x:v>操作</x:v>
      </x:c>
      <x:c r="C13" s="30"/>
      <x:c r="D13" s="30"/>
      <x:c r="E13" s="33"/>
    </x:row>
    <x:row r="14">
      <x:c r="A14" s="37" t="n">
        <x:v>1</x:v>
      </x:c>
      <x:c r="B14" s="29" t="str">
        <x:v>打开 Fact Reference 和 Rubric，确认评分标准。</x:v>
      </x:c>
      <x:c r="C14" s="30"/>
      <x:c r="D14" s="30"/>
      <x:c r="E14" s="33"/>
    </x:row>
    <x:row r="15">
      <x:c r="A15" s="37" t="n">
        <x:v>2</x:v>
      </x:c>
      <x:c r="B15" s="29" t="str">
        <x:v>在 Blind Review 按 Blind Order 顺序阅读候选内容。</x:v>
      </x:c>
      <x:c r="C15" s="30"/>
      <x:c r="D15" s="30"/>
      <x:c r="E15" s="33"/>
    </x:row>
    <x:row r="16">
      <x:c r="A16" s="37" t="n">
        <x:v>3</x:v>
      </x:c>
      <x:c r="B16" s="29" t="str">
        <x:v>填写黄色单元格；每条候选独立评分。</x:v>
      </x:c>
      <x:c r="C16" s="30"/>
      <x:c r="D16" s="30"/>
      <x:c r="E16" s="33"/>
    </x:row>
    <x:row r="17">
      <x:c r="A17" s="37" t="n">
        <x:v>4</x:v>
      </x:c>
      <x:c r="B17" s="29" t="str">
        <x:v>每完成一条，将 Review Status 改为 Complete。</x:v>
      </x:c>
      <x:c r="C17" s="30"/>
      <x:c r="D17" s="30"/>
      <x:c r="E17" s="33"/>
    </x:row>
    <x:row r="18">
      <x:c r="A18" s="38" t="n">
        <x:v>5</x:v>
      </x:c>
      <x:c r="B18" s="39" t="str">
        <x:v>60/60 完成后锁定评分记录，再揭盲并生成实际 A/B 报告、双语统计、对比图及至少 5 个失败案例。</x:v>
      </x:c>
      <x:c r="C18" s="40"/>
      <x:c r="D18" s="40"/>
      <x:c r="E18" s="41"/>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8" hidden="0" customWidth="1"/>
    <x:col min="5" max="5" width="24" hidden="0" customWidth="1"/>
    <x:col min="6" max="6" width="18" hidden="0" customWidth="1"/>
    <x:col min="7" max="7" width="18" hidden="0" customWidth="1"/>
    <x:col min="8" max="8" width="3"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Blind Review Dashboard｜Completion Only</x:v>
      </x:c>
      <x:c r="B1" s="3"/>
      <x:c r="C1" s="3"/>
      <x:c r="D1" s="3"/>
      <x:c r="E1" s="3"/>
      <x:c r="F1" s="3"/>
      <x:c r="G1" s="3"/>
      <x:c r="H1" s="3"/>
      <x:c r="I1" s="3"/>
      <x:c r="J1" s="3"/>
      <x:c r="K1" s="3"/>
      <x:c r="L1" s="3"/>
      <x:c r="M1" s="3"/>
      <x:c r="N1" s="3"/>
    </x:row>
    <x:row r="2">
      <x:c r="A2" s="6" t="str">
        <x:v>本页只显示盲评进度，不显示真实版本结果。实际 A/B 提升、英西语结果和结论必须在 60/60 完成并揭盲后生成。</x:v>
      </x:c>
      <x:c r="B2" s="6"/>
      <x:c r="C2" s="6"/>
      <x:c r="D2" s="6"/>
      <x:c r="E2" s="6"/>
      <x:c r="F2" s="6"/>
      <x:c r="G2" s="6"/>
      <x:c r="H2" s="6"/>
      <x:c r="I2" s="6"/>
      <x:c r="J2" s="6"/>
      <x:c r="K2" s="6"/>
      <x:c r="L2" s="6"/>
      <x:c r="M2" s="6"/>
      <x:c r="N2" s="6"/>
    </x:row>
    <x:row r="4" ht="36" customHeight="1">
      <x:c r="A4" s="16" t="str">
        <x:v>Completed Candidates</x:v>
      </x:c>
      <x:c r="B4" s="45" t="str">
        <x:v>Completed Pairs</x:v>
      </x:c>
      <x:c r="C4" s="45" t="str">
        <x:v>English Pairs</x:v>
      </x:c>
      <x:c r="D4" s="45" t="str">
        <x:v>Spanish Pairs</x:v>
      </x:c>
      <x:c r="E4" s="45" t="str">
        <x:v>Flagged Failures</x:v>
      </x:c>
      <x:c r="F4" s="17" t="str">
        <x:v>Avg Review Min</x:v>
      </x:c>
    </x:row>
    <x:row r="5">
      <x:c r="A5" s="47" t="n">
        <x:f>COUNTIF('Blind Review'!$Y$4:$Y$63,"Reviewed")+COUNTIF('Blind Review'!$Y$4:$Y$63,"Failure")</x:f>
        <x:v>0</x:v>
      </x:c>
      <x:c r="B5" s="47" t="n">
        <x:f>COUNTIF('Pair Progress'!$R$4:$R$33,"Complete")</x:f>
        <x:v>0</x:v>
      </x:c>
      <x:c r="C5" s="47" t="n">
        <x:f>COUNTIFS('Pair Progress'!$E$4:$E$33,"en-US",'Pair Progress'!$R$4:$R$33,"Complete")</x:f>
        <x:v>0</x:v>
      </x:c>
      <x:c r="D5" s="47" t="n">
        <x:f>COUNTIFS('Pair Progress'!$E$4:$E$33,"es-MX",'Pair Progress'!$R$4:$R$33,"Complete")</x:f>
        <x:v>0</x:v>
      </x:c>
      <x:c r="E5" s="47" t="n">
        <x:f>COUNTIF('Blind Review'!$Y$4:$Y$63,"Failure")</x:f>
        <x:v>0</x:v>
      </x:c>
      <x:c r="F5" s="48" t="str">
        <x:f>IF(COUNT('Blind Review'!$R$4:$R$63)=0,"",AVERAGE('Blind Review'!$R$4:$R$63))</x:f>
      </x:c>
    </x:row>
    <x:row r="8">
      <x:c r="A8" s="16" t="str">
        <x:v>Language</x:v>
      </x:c>
      <x:c r="B8" s="45" t="str">
        <x:v>Completed</x:v>
      </x:c>
      <x:c r="C8" s="17" t="str">
        <x:v>Pending</x:v>
      </x:c>
      <x:c r="E8" s="16" t="str">
        <x:v>Content Type</x:v>
      </x:c>
      <x:c r="F8" s="45" t="str">
        <x:v>Completed</x:v>
      </x:c>
      <x:c r="G8" s="17" t="str">
        <x:v>Pending</x:v>
      </x:c>
    </x:row>
    <x:row r="9">
      <x:c r="A9" s="22" t="str">
        <x:v>en-US</x:v>
      </x:c>
      <x:c r="B9" s="22" t="n">
        <x:f>COUNTIFS('Blind Review'!$E$4:$E$63,A9,'Blind Review'!$Y$4:$Y$63,"Reviewed")+COUNTIFS('Blind Review'!$E$4:$E$63,A9,'Blind Review'!$Y$4:$Y$63,"Failure")</x:f>
        <x:v>0</x:v>
      </x:c>
      <x:c r="C9" s="22" t="n">
        <x:f>COUNTIF('Blind Review'!$E$4:$E$63,A9)-B9</x:f>
        <x:v>30</x:v>
      </x:c>
      <x:c r="E9" s="22" t="str">
        <x:v>product_listing</x:v>
      </x:c>
      <x:c r="F9" s="22" t="n">
        <x:f>COUNTIFS('Blind Review'!$F$4:$F$63,E9,'Blind Review'!$Y$4:$Y$63,"Reviewed")+COUNTIFS('Blind Review'!$F$4:$F$63,E9,'Blind Review'!$Y$4:$Y$63,"Failure")</x:f>
        <x:v>0</x:v>
      </x:c>
      <x:c r="G9" s="22" t="n">
        <x:f>COUNTIF('Blind Review'!$F$4:$F$63,E9)-F9</x:f>
        <x:v>20</x:v>
      </x:c>
    </x:row>
    <x:row r="10">
      <x:c r="A10" s="22" t="str">
        <x:v>es-MX</x:v>
      </x:c>
      <x:c r="B10" s="22" t="n">
        <x:f>COUNTIFS('Blind Review'!$E$4:$E$63,A10,'Blind Review'!$Y$4:$Y$63,"Reviewed")+COUNTIFS('Blind Review'!$E$4:$E$63,A10,'Blind Review'!$Y$4:$Y$63,"Failure")</x:f>
        <x:v>0</x:v>
      </x:c>
      <x:c r="C10" s="22" t="n">
        <x:f>COUNTIF('Blind Review'!$E$4:$E$63,A10)-B10</x:f>
        <x:v>30</x:v>
      </x:c>
      <x:c r="E10" s="22" t="str">
        <x:v>short_video_script</x:v>
      </x:c>
      <x:c r="F10" s="22" t="n">
        <x:f>COUNTIFS('Blind Review'!$F$4:$F$63,E10,'Blind Review'!$Y$4:$Y$63,"Reviewed")+COUNTIFS('Blind Review'!$F$4:$F$63,E10,'Blind Review'!$Y$4:$Y$63,"Failure")</x:f>
        <x:v>0</x:v>
      </x:c>
      <x:c r="G10" s="22" t="n">
        <x:f>COUNTIF('Blind Review'!$F$4:$F$63,E10)-F10</x:f>
        <x:v>20</x:v>
      </x:c>
    </x:row>
    <x:row r="11">
      <x:c r="E11" s="22" t="str">
        <x:v>social_ad_copy</x:v>
      </x:c>
      <x:c r="F11" s="22" t="n">
        <x:f>COUNTIFS('Blind Review'!$F$4:$F$63,E11,'Blind Review'!$Y$4:$Y$63,"Reviewed")+COUNTIFS('Blind Review'!$F$4:$F$63,E11,'Blind Review'!$Y$4:$Y$63,"Failure")</x:f>
        <x:v>0</x:v>
      </x:c>
      <x:c r="G11" s="22" t="n">
        <x:f>COUNTIF('Blind Review'!$F$4:$F$63,E11)-F11</x:f>
        <x:v>20</x:v>
      </x:c>
    </x:row>
    <x:row r="14">
      <x:c r="A14" s="16" t="str">
        <x:v>Candidate</x:v>
      </x:c>
      <x:c r="B14" s="45" t="str">
        <x:v>Rows</x:v>
      </x:c>
      <x:c r="C14" s="17" t="str">
        <x:v>Balance Check</x:v>
      </x:c>
    </x:row>
    <x:row r="15">
      <x:c r="A15" s="22" t="str">
        <x:v>A</x:v>
      </x:c>
      <x:c r="B15" s="22" t="n">
        <x:f>COUNTIF('Blind Review'!$G$4:$G$63,A15)</x:f>
        <x:v>30</x:v>
      </x:c>
      <x:c r="C15" s="22" t="str">
        <x:f>IF(B15=30,"PASS","CHECK")</x:f>
        <x:v>PASS</x:v>
      </x:c>
    </x:row>
    <x:row r="16">
      <x:c r="A16" s="22" t="str">
        <x:v>B</x:v>
      </x:c>
      <x:c r="B16" s="22" t="n">
        <x:f>COUNTIF('Blind Review'!$G$4:$G$63,A16)</x:f>
        <x:v>30</x:v>
      </x:c>
      <x:c r="C16" s="22" t="str">
        <x:f>IF(B16=30,"PASS","CHECK")</x:f>
        <x:v>PASS</x:v>
      </x:c>
    </x:row>
  </x:sheetData>
  <x:mergeCells>
    <x:mergeCell ref="A1:N1"/>
    <x:mergeCell ref="A2:N2"/>
  </x:mergeCells>
  <x:pageMargins left="0.7" right="0.7" top="0.75" bottom="0.75" header="0.3" footer="0.3"/>
  <x:drawing xmlns:r="http://schemas.openxmlformats.org/officeDocument/2006/relationships" r:id="R65c5c3c5dbb04f9c"/>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11" hidden="0" customWidth="1"/>
    <x:col min="4" max="4" width="18" hidden="0" customWidth="1"/>
    <x:col min="5" max="5" width="11" hidden="0" customWidth="1"/>
    <x:col min="6" max="6" width="22" hidden="0" customWidth="1"/>
    <x:col min="7" max="7" width="11" hidden="0" customWidth="1"/>
    <x:col min="8" max="8" width="84" hidden="0" customWidth="1"/>
    <x:col min="9" max="9" width="14" hidden="0" customWidth="1"/>
    <x:col min="10" max="10" width="16" hidden="0" customWidth="1"/>
    <x:col min="11" max="11" width="16" hidden="0" customWidth="1"/>
    <x:col min="12" max="12" width="13" hidden="0" customWidth="1"/>
    <x:col min="13" max="13" width="16" hidden="0" customWidth="1"/>
    <x:col min="14" max="14" width="13" hidden="0" customWidth="1"/>
    <x:col min="15" max="15" width="17" hidden="0" customWidth="1"/>
    <x:col min="16" max="16" width="13" hidden="0" customWidth="1"/>
    <x:col min="17" max="17" width="15" hidden="0" customWidth="1"/>
    <x:col min="18" max="18" width="14" hidden="0" customWidth="1"/>
    <x:col min="19" max="19" width="14" hidden="0" customWidth="1"/>
    <x:col min="20" max="20" width="15" hidden="0" customWidth="1"/>
    <x:col min="21" max="21" width="14" hidden="0" customWidth="1"/>
    <x:col min="22" max="22" width="34" hidden="0" customWidth="1"/>
    <x:col min="23" max="23" width="24" hidden="0" customWidth="1"/>
    <x:col min="24" max="24" width="12" hidden="0" customWidth="1"/>
    <x:col min="25" max="25" width="13" hidden="0" customWidth="1"/>
  </x:cols>
  <x:sheetData>
    <x:row r="1" ht="34" customHeight="1">
      <x:c r="A1" s="3" t="str">
        <x:v>Blind Review｜60 Anonymous Candidates</x:v>
      </x:c>
      <x:c r="B1" s="3"/>
      <x:c r="C1" s="3"/>
      <x:c r="D1" s="3"/>
      <x:c r="E1" s="3"/>
      <x:c r="F1" s="3"/>
      <x:c r="G1" s="3"/>
      <x:c r="H1" s="3"/>
      <x:c r="I1" s="3"/>
      <x:c r="J1" s="3"/>
      <x:c r="K1" s="3"/>
      <x:c r="L1" s="3"/>
      <x:c r="M1" s="3"/>
      <x:c r="N1" s="3"/>
      <x:c r="O1" s="3"/>
      <x:c r="P1" s="3"/>
      <x:c r="Q1" s="3"/>
      <x:c r="R1" s="3"/>
      <x:c r="S1" s="3"/>
      <x:c r="T1" s="3"/>
      <x:c r="U1" s="3"/>
      <x:c r="V1" s="3"/>
      <x:c r="W1" s="3"/>
      <x:c r="X1" s="3"/>
      <x:c r="Y1" s="3"/>
    </x:row>
    <x:row r="2">
      <x:c r="A2" s="6" t="str">
        <x:v>黄色单元格由人工填写；灰色列由公式计算。先看 Fact Reference 和 Rubric。不要打开 admin_do_not_open_before_scoring 文件夹。</x:v>
      </x:c>
      <x:c r="B2" s="6"/>
      <x:c r="C2" s="6"/>
      <x:c r="D2" s="6"/>
      <x:c r="E2" s="6"/>
      <x:c r="F2" s="6"/>
      <x:c r="G2" s="6"/>
      <x:c r="H2" s="6"/>
      <x:c r="I2" s="6"/>
      <x:c r="J2" s="6"/>
      <x:c r="K2" s="6"/>
      <x:c r="L2" s="6"/>
      <x:c r="M2" s="6"/>
      <x:c r="N2" s="6"/>
      <x:c r="O2" s="6"/>
      <x:c r="P2" s="6"/>
      <x:c r="Q2" s="6"/>
      <x:c r="R2" s="6"/>
      <x:c r="S2" s="6"/>
      <x:c r="T2" s="6"/>
      <x:c r="U2" s="6"/>
      <x:c r="V2" s="6"/>
      <x:c r="W2" s="6"/>
      <x:c r="X2" s="6"/>
      <x:c r="Y2" s="6"/>
    </x:row>
    <x:row r="3">
      <x:c r="A3" s="16" t="str">
        <x:v>Blind Order</x:v>
      </x:c>
      <x:c r="B3" s="45" t="str">
        <x:v>Candidate ID</x:v>
      </x:c>
      <x:c r="C3" s="45" t="str">
        <x:v>Group ID</x:v>
      </x:c>
      <x:c r="D3" s="45" t="str">
        <x:v>SKU</x:v>
      </x:c>
      <x:c r="E3" s="45" t="str">
        <x:v>Language</x:v>
      </x:c>
      <x:c r="F3" s="45" t="str">
        <x:v>Content Type</x:v>
      </x:c>
      <x:c r="G3" s="45" t="str">
        <x:v>Candidate</x:v>
      </x:c>
      <x:c r="H3" s="45" t="str">
        <x:v>Anonymous Content</x:v>
      </x:c>
      <x:c r="I3" s="45" t="str">
        <x:v>Fact Accuracy</x:v>
      </x:c>
      <x:c r="J3" s="45" t="str">
        <x:v>Information Completeness</x:v>
      </x:c>
      <x:c r="K3" s="45" t="str">
        <x:v>Language Naturalness</x:v>
      </x:c>
      <x:c r="L3" s="45" t="str">
        <x:v>Cultural Fit</x:v>
      </x:c>
      <x:c r="M3" s="45" t="str">
        <x:v>Brand Consistency</x:v>
      </x:c>
      <x:c r="N3" s="45" t="str">
        <x:v>Platform Fit</x:v>
      </x:c>
      <x:c r="O3" s="45" t="str">
        <x:v>Marketing Persuasiveness</x:v>
      </x:c>
      <x:c r="P3" s="45" t="str">
        <x:v>Publishability</x:v>
      </x:c>
      <x:c r="Q3" s="45" t="str">
        <x:v>Modification Count</x:v>
      </x:c>
      <x:c r="R3" s="45" t="str">
        <x:v>Review Minutes</x:v>
      </x:c>
      <x:c r="S3" s="45" t="str">
        <x:v>Review Date</x:v>
      </x:c>
      <x:c r="T3" s="45" t="str">
        <x:v>Reviewer ID</x:v>
      </x:c>
      <x:c r="U3" s="45" t="str">
        <x:v>Review Status</x:v>
      </x:c>
      <x:c r="V3" s="45" t="str">
        <x:v>Reviewer Comments</x:v>
      </x:c>
      <x:c r="W3" s="45" t="str">
        <x:v>Failure Tags</x:v>
      </x:c>
      <x:c r="X3" s="45" t="str">
        <x:v>Mean Score</x:v>
      </x:c>
      <x:c r="Y3" s="17" t="str">
        <x:v>Failure Flag</x:v>
      </x:c>
    </x:row>
    <x:row r="4" ht="112" customHeight="1">
      <x:c r="A4" s="54" t="n">
        <x:v>1</x:v>
      </x:c>
      <x:c r="B4" s="54" t="str">
        <x:v>G001-A</x:v>
      </x:c>
      <x:c r="C4" s="54" t="str">
        <x:v>G001</x:v>
      </x:c>
      <x:c r="D4" s="54" t="str">
        <x:v>MV-CREAM-001</x:v>
      </x:c>
      <x:c r="E4" s="54" t="str">
        <x:v>en-US</x:v>
      </x:c>
      <x:c r="F4" s="54" t="str">
        <x:v>short_video_script</x:v>
      </x:c>
      <x:c r="G4" s="54" t="str">
        <x:v>A</x:v>
      </x:c>
      <x:c r="H4" s="22" t="str">
        <x:v>0–3s: Show Fragrance-Free Face Cream. Voice: Moisturizes dry skin.
3–10s: Show use. Voice: Put a suitable amount on clean face and neck and use sunscreen in daytime.
10–15s: Show package. Text: 50 mL. Buy now.
CAPTION: Fragrance-Free Face Cream for daily skin care.</x:v>
      </x:c>
      <x:c r="I4" s="55"/>
      <x:c r="J4" s="55"/>
      <x:c r="K4" s="55"/>
      <x:c r="L4" s="55"/>
      <x:c r="M4" s="55"/>
      <x:c r="N4" s="55"/>
      <x:c r="O4" s="55"/>
      <x:c r="P4" s="55"/>
      <x:c r="Q4" s="55"/>
      <x:c r="R4" s="55"/>
      <x:c r="S4" s="58"/>
      <x:c r="T4" s="55"/>
      <x:c r="U4" s="55" t="str">
        <x:v>Pending</x:v>
      </x:c>
      <x:c r="V4" s="50"/>
      <x:c r="W4" s="50"/>
      <x:c r="X4" s="57" t="str">
        <x:f>IF(COUNT(J4:P4)=7,AVERAGE(J4:P4),"")</x:f>
      </x:c>
      <x:c r="Y4" s="56" t="str">
        <x:f>IF(U4&lt;&gt;"Complete","Pending",IF(OR(I4="",COUNT(J4:P4)&lt;7,Q4="",R4="",S4="",T4=""),"Incomplete",IF(OR(I4="Fail",P4&lt;=2,X4&lt;=3),"Failure","Reviewed")))</x:f>
        <x:v>Pending</x:v>
      </x:c>
    </x:row>
    <x:row r="5" ht="112" customHeight="1">
      <x:c r="A5" s="54" t="n">
        <x:v>2</x:v>
      </x:c>
      <x:c r="B5" s="54" t="str">
        <x:v>G001-B</x:v>
      </x:c>
      <x:c r="C5" s="54" t="str">
        <x:v>G001</x:v>
      </x:c>
      <x:c r="D5" s="54" t="str">
        <x:v>MV-CREAM-001</x:v>
      </x:c>
      <x:c r="E5" s="54" t="str">
        <x:v>en-US</x:v>
      </x:c>
      <x:c r="F5" s="54" t="str">
        <x:v>short_video_script</x:v>
      </x:c>
      <x:c r="G5" s="54" t="str">
        <x:v>B</x:v>
      </x:c>
      <x:c r="H5" s="22" t="str">
        <x:v>00:00–00:03 HOOK — Visual: Product in a simple routine. Voice: A fragrance-free moisturizing step.
00:03–00:08 VERIFIED FEATURE — Visual: Texture and package. Voice: A cream texture made without added fragrance.
00:08–00:13 USE + EXPERIENCE — Visual: Demonstrate use. Voice: Helps skin feel soft and moisturized. Apply to a clean face and neck; follow with sunscreen during the day.
00:13–00:15 CTA — On-screen: See product details.
CAPTION: Made with squalane, panthenol and beta-glucan to help skin feel soft and moisturized.</x:v>
      </x:c>
      <x:c r="I5" s="55"/>
      <x:c r="J5" s="55"/>
      <x:c r="K5" s="55"/>
      <x:c r="L5" s="55"/>
      <x:c r="M5" s="55"/>
      <x:c r="N5" s="55"/>
      <x:c r="O5" s="55"/>
      <x:c r="P5" s="55"/>
      <x:c r="Q5" s="55"/>
      <x:c r="R5" s="55"/>
      <x:c r="S5" s="58"/>
      <x:c r="T5" s="55"/>
      <x:c r="U5" s="55" t="str">
        <x:v>Pending</x:v>
      </x:c>
      <x:c r="V5" s="50"/>
      <x:c r="W5" s="50"/>
      <x:c r="X5" s="57" t="str">
        <x:f>IF(COUNT(J5:P5)=7,AVERAGE(J5:P5),"")</x:f>
      </x:c>
      <x:c r="Y5" s="56" t="str">
        <x:f>IF(U5&lt;&gt;"Complete","Pending",IF(OR(I5="",COUNT(J5:P5)&lt;7,Q5="",R5="",S5="",T5=""),"Incomplete",IF(OR(I5="Fail",P5&lt;=2,X5&lt;=3),"Failure","Reviewed")))</x:f>
        <x:v>Pending</x:v>
      </x:c>
    </x:row>
    <x:row r="6" ht="112" customHeight="1">
      <x:c r="A6" s="54" t="n">
        <x:v>3</x:v>
      </x:c>
      <x:c r="B6" s="54" t="str">
        <x:v>G002-A</x:v>
      </x:c>
      <x:c r="C6" s="54" t="str">
        <x:v>G002</x:v>
      </x:c>
      <x:c r="D6" s="54" t="str">
        <x:v>MV-KIT-001</x:v>
      </x:c>
      <x:c r="E6" s="54" t="str">
        <x:v>en-US</x:v>
      </x:c>
      <x:c r="F6" s="54" t="str">
        <x:v>social_ad_copy</x:v>
      </x:c>
      <x:c r="G6" s="54" t="str">
        <x:v>A</x:v>
      </x:c>
      <x:c r="H6" s="22" t="str">
        <x:v>HOOK: Covers all of your skincare needs while traveling.
BODY: three fragrance-free mini products in one paper box. Contains a 30 mL cleanser, 10 mL serum and 15 mL moisturizer. Use cleanser first, serum second and cream third.
CTA: Buy now.</x:v>
      </x:c>
      <x:c r="I6" s="55"/>
      <x:c r="J6" s="55"/>
      <x:c r="K6" s="55"/>
      <x:c r="L6" s="55"/>
      <x:c r="M6" s="55"/>
      <x:c r="N6" s="55"/>
      <x:c r="O6" s="55"/>
      <x:c r="P6" s="55"/>
      <x:c r="Q6" s="55"/>
      <x:c r="R6" s="55"/>
      <x:c r="S6" s="58"/>
      <x:c r="T6" s="55"/>
      <x:c r="U6" s="55" t="str">
        <x:v>Pending</x:v>
      </x:c>
      <x:c r="V6" s="50"/>
      <x:c r="W6" s="50"/>
      <x:c r="X6" s="57" t="str">
        <x:f>IF(COUNT(J6:P6)=7,AVERAGE(J6:P6),"")</x:f>
      </x:c>
      <x:c r="Y6" s="56" t="str">
        <x:f>IF(U6&lt;&gt;"Complete","Pending",IF(OR(I6="",COUNT(J6:P6)&lt;7,Q6="",R6="",S6="",T6=""),"Incomplete",IF(OR(I6="Fail",P6&lt;=2,X6&lt;=3),"Failure","Reviewed")))</x:f>
        <x:v>Pending</x:v>
      </x:c>
    </x:row>
    <x:row r="7" ht="112" customHeight="1">
      <x:c r="A7" s="54" t="n">
        <x:v>4</x:v>
      </x:c>
      <x:c r="B7" s="54" t="str">
        <x:v>G002-B</x:v>
      </x:c>
      <x:c r="C7" s="54" t="str">
        <x:v>G002</x:v>
      </x:c>
      <x:c r="D7" s="54" t="str">
        <x:v>MV-KIT-001</x:v>
      </x:c>
      <x:c r="E7" s="54" t="str">
        <x:v>en-US</x:v>
      </x:c>
      <x:c r="F7" s="54" t="str">
        <x:v>social_ad_copy</x:v>
      </x:c>
      <x:c r="G7" s="54" t="str">
        <x:v>B</x:v>
      </x:c>
      <x:c r="H7" s="22" t="str">
        <x:v>HOOK: Three simple steps in a travel-size set.
BODY: A fragrance-free cleanser, serum and moisturizer organized in one compact paper box. Use the cleanser, serum and moisturizer in that order, following each product's directions.
CTA: See product details.</x:v>
      </x:c>
      <x:c r="I7" s="55"/>
      <x:c r="J7" s="55"/>
      <x:c r="K7" s="55"/>
      <x:c r="L7" s="55"/>
      <x:c r="M7" s="55"/>
      <x:c r="N7" s="55"/>
      <x:c r="O7" s="55"/>
      <x:c r="P7" s="55"/>
      <x:c r="Q7" s="55"/>
      <x:c r="R7" s="55"/>
      <x:c r="S7" s="58"/>
      <x:c r="T7" s="55"/>
      <x:c r="U7" s="55" t="str">
        <x:v>Pending</x:v>
      </x:c>
      <x:c r="V7" s="50"/>
      <x:c r="W7" s="50"/>
      <x:c r="X7" s="57" t="str">
        <x:f>IF(COUNT(J7:P7)=7,AVERAGE(J7:P7),"")</x:f>
      </x:c>
      <x:c r="Y7" s="56" t="str">
        <x:f>IF(U7&lt;&gt;"Complete","Pending",IF(OR(I7="",COUNT(J7:P7)&lt;7,Q7="",R7="",S7="",T7=""),"Incomplete",IF(OR(I7="Fail",P7&lt;=2,X7&lt;=3),"Failure","Reviewed")))</x:f>
        <x:v>Pending</x:v>
      </x:c>
    </x:row>
    <x:row r="8" ht="112" customHeight="1">
      <x:c r="A8" s="54" t="n">
        <x:v>5</x:v>
      </x:c>
      <x:c r="B8" s="54" t="str">
        <x:v>G003-A</x:v>
      </x:c>
      <x:c r="C8" s="54" t="str">
        <x:v>G003</x:v>
      </x:c>
      <x:c r="D8" s="54" t="str">
        <x:v>MV-HAND-001</x:v>
      </x:c>
      <x:c r="E8" s="54" t="str">
        <x:v>es-MX</x:v>
      </x:c>
      <x:c r="F8" s="54" t="str">
        <x:v>short_video_script</x:v>
      </x:c>
      <x:c r="G8" s="54" t="str">
        <x:v>A</x:v>
      </x:c>
      <x:c r="H8" s="22" t="str">
        <x:v>0–3 s: Muestra Crema humectante de mano. Voz: Repara las manos secas después de lavarlas.
3–10 s: Muestra uso. Voz: Aplica en manos y bordes de uñas repetidamente cuando sea necesario.
10–15 s: Muestra empaque. Texto: 60 mL. Compra ahora.
TEXTO: Crema humectante de mano para el cuidado diario de piel.</x:v>
      </x:c>
      <x:c r="I8" s="55"/>
      <x:c r="J8" s="55"/>
      <x:c r="K8" s="55"/>
      <x:c r="L8" s="55"/>
      <x:c r="M8" s="55"/>
      <x:c r="N8" s="55"/>
      <x:c r="O8" s="55"/>
      <x:c r="P8" s="55"/>
      <x:c r="Q8" s="55"/>
      <x:c r="R8" s="55"/>
      <x:c r="S8" s="58"/>
      <x:c r="T8" s="55"/>
      <x:c r="U8" s="55" t="str">
        <x:v>Pending</x:v>
      </x:c>
      <x:c r="V8" s="50"/>
      <x:c r="W8" s="50"/>
      <x:c r="X8" s="57" t="str">
        <x:f>IF(COUNT(J8:P8)=7,AVERAGE(J8:P8),"")</x:f>
      </x:c>
      <x:c r="Y8" s="56" t="str">
        <x:f>IF(U8&lt;&gt;"Complete","Pending",IF(OR(I8="",COUNT(J8:P8)&lt;7,Q8="",R8="",S8="",T8=""),"Incomplete",IF(OR(I8="Fail",P8&lt;=2,X8&lt;=3),"Failure","Reviewed")))</x:f>
        <x:v>Pending</x:v>
      </x:c>
    </x:row>
    <x:row r="9" ht="112" customHeight="1">
      <x:c r="A9" s="54" t="n">
        <x:v>6</x:v>
      </x:c>
      <x:c r="B9" s="54" t="str">
        <x:v>G003-B</x:v>
      </x:c>
      <x:c r="C9" s="54" t="str">
        <x:v>G003</x:v>
      </x:c>
      <x:c r="D9" s="54" t="str">
        <x:v>MV-HAND-001</x:v>
      </x:c>
      <x:c r="E9" s="54" t="str">
        <x:v>es-MX</x:v>
      </x:c>
      <x:c r="F9" s="54" t="str">
        <x:v>short_video_script</x:v>
      </x:c>
      <x:c r="G9" s="54" t="str">
        <x:v>B</x:v>
      </x:c>
      <x:c r="H9" s="22" t="str">
        <x:v>00:00–00:03 GANCHO — Visual: Producto en una rutina sencilla. Voz: Un paso sencillo para las manos después del lavado.
00:03–00:08 CARACTERÍSTICA — Visual: Textura y envase. Voz: Sin fragancia añadida y en tubo de aluminio.
00:08–00:13 USO + EXPERIENCIA — Visual: Demostración de uso. Voz: Ayuda a que las manos se sientan suaves e hidratadas después del lavado diario. Masajea las manos y el contorno de las uñas según sea necesario; solo para uso externo.
00:13–00:15 CTA — Texto en pantalla: Consulta los detalles.
TEXTO: Con glicerina, manteca de karité, pantenol y alantoína para ayudar a que las manos se sientan suaves e hidratadas.</x:v>
      </x:c>
      <x:c r="I9" s="55"/>
      <x:c r="J9" s="55"/>
      <x:c r="K9" s="55"/>
      <x:c r="L9" s="55"/>
      <x:c r="M9" s="55"/>
      <x:c r="N9" s="55"/>
      <x:c r="O9" s="55"/>
      <x:c r="P9" s="55"/>
      <x:c r="Q9" s="55"/>
      <x:c r="R9" s="55"/>
      <x:c r="S9" s="58"/>
      <x:c r="T9" s="55"/>
      <x:c r="U9" s="55" t="str">
        <x:v>Pending</x:v>
      </x:c>
      <x:c r="V9" s="50"/>
      <x:c r="W9" s="50"/>
      <x:c r="X9" s="57" t="str">
        <x:f>IF(COUNT(J9:P9)=7,AVERAGE(J9:P9),"")</x:f>
      </x:c>
      <x:c r="Y9" s="56" t="str">
        <x:f>IF(U9&lt;&gt;"Complete","Pending",IF(OR(I9="",COUNT(J9:P9)&lt;7,Q9="",R9="",S9="",T9=""),"Incomplete",IF(OR(I9="Fail",P9&lt;=2,X9&lt;=3),"Failure","Reviewed")))</x:f>
        <x:v>Pending</x:v>
      </x:c>
    </x:row>
    <x:row r="10" ht="112" customHeight="1">
      <x:c r="A10" s="54" t="n">
        <x:v>7</x:v>
      </x:c>
      <x:c r="B10" s="54" t="str">
        <x:v>G004-A</x:v>
      </x:c>
      <x:c r="C10" s="54" t="str">
        <x:v>G004</x:v>
      </x:c>
      <x:c r="D10" s="54" t="str">
        <x:v>MV-KIT-001</x:v>
      </x:c>
      <x:c r="E10" s="54" t="str">
        <x:v>es-MX</x:v>
      </x:c>
      <x:c r="F10" s="54" t="str">
        <x:v>short_video_script</x:v>
      </x:c>
      <x:c r="G10" s="54" t="str">
        <x:v>A</x:v>
      </x:c>
      <x:c r="H10" s="22" t="str">
        <x:v>00:00–00:03 GANCHO — Visual: Producto en una rutina sencilla. Voz: Tres pasos sencillos en un set para viaje.
00:03–00:08 CARACTERÍSTICA — Visual: Textura y envase. Voz: Tres productos mini sin fragancia añadida en una caja de cartón.
00:08–00:13 USO + EXPERIENCIA — Visual: Demostración de uso. Voz: Combina pasos básicos de limpieza, hidratación y humectación para llevar menos. Usa el limpiador, el sérum y la crema hidratante en ese orden, siguiendo las indicaciones de cada producto.
00:13–00:15 CTA — Texto en pantalla: Consulta los detalles.
TEXTO: Limpiador, sérum y crema hidratante sin fragancia añadida, reunidos en una caja compacta.</x:v>
      </x:c>
      <x:c r="I10" s="55"/>
      <x:c r="J10" s="55"/>
      <x:c r="K10" s="55"/>
      <x:c r="L10" s="55"/>
      <x:c r="M10" s="55"/>
      <x:c r="N10" s="55"/>
      <x:c r="O10" s="55"/>
      <x:c r="P10" s="55"/>
      <x:c r="Q10" s="55"/>
      <x:c r="R10" s="55"/>
      <x:c r="S10" s="58"/>
      <x:c r="T10" s="55"/>
      <x:c r="U10" s="55" t="str">
        <x:v>Pending</x:v>
      </x:c>
      <x:c r="V10" s="50"/>
      <x:c r="W10" s="50"/>
      <x:c r="X10" s="57" t="str">
        <x:f>IF(COUNT(J10:P10)=7,AVERAGE(J10:P10),"")</x:f>
      </x:c>
      <x:c r="Y10" s="56" t="str">
        <x:f>IF(U10&lt;&gt;"Complete","Pending",IF(OR(I10="",COUNT(J10:P10)&lt;7,Q10="",R10="",S10="",T10=""),"Incomplete",IF(OR(I10="Fail",P10&lt;=2,X10&lt;=3),"Failure","Reviewed")))</x:f>
        <x:v>Pending</x:v>
      </x:c>
    </x:row>
    <x:row r="11" ht="112" customHeight="1">
      <x:c r="A11" s="54" t="n">
        <x:v>8</x:v>
      </x:c>
      <x:c r="B11" s="54" t="str">
        <x:v>G004-B</x:v>
      </x:c>
      <x:c r="C11" s="54" t="str">
        <x:v>G004</x:v>
      </x:c>
      <x:c r="D11" s="54" t="str">
        <x:v>MV-KIT-001</x:v>
      </x:c>
      <x:c r="E11" s="54" t="str">
        <x:v>es-MX</x:v>
      </x:c>
      <x:c r="F11" s="54" t="str">
        <x:v>short_video_script</x:v>
      </x:c>
      <x:c r="G11" s="54" t="str">
        <x:v>B</x:v>
      </x:c>
      <x:c r="H11" s="22" t="str">
        <x:v>0–3 s: Muestra Kit de cuidado de piel para viaje. Voz: Cubre todas tus necesidades de piel cuando viajas.
3–10 s: Muestra uso. Voz: Usa primero limpiador, segundo serum y tercero crema.
10–15 s: Muestra empaque. Texto: 3 pieces / 55 mL total. Compra ahora.
TEXTO: Kit de cuidado de piel para viaje para el cuidado diario de piel.</x:v>
      </x:c>
      <x:c r="I11" s="55"/>
      <x:c r="J11" s="55"/>
      <x:c r="K11" s="55"/>
      <x:c r="L11" s="55"/>
      <x:c r="M11" s="55"/>
      <x:c r="N11" s="55"/>
      <x:c r="O11" s="55"/>
      <x:c r="P11" s="55"/>
      <x:c r="Q11" s="55"/>
      <x:c r="R11" s="55"/>
      <x:c r="S11" s="58"/>
      <x:c r="T11" s="55"/>
      <x:c r="U11" s="55" t="str">
        <x:v>Pending</x:v>
      </x:c>
      <x:c r="V11" s="50"/>
      <x:c r="W11" s="50"/>
      <x:c r="X11" s="57" t="str">
        <x:f>IF(COUNT(J11:P11)=7,AVERAGE(J11:P11),"")</x:f>
      </x:c>
      <x:c r="Y11" s="56" t="str">
        <x:f>IF(U11&lt;&gt;"Complete","Pending",IF(OR(I11="",COUNT(J11:P11)&lt;7,Q11="",R11="",S11="",T11=""),"Incomplete",IF(OR(I11="Fail",P11&lt;=2,X11&lt;=3),"Failure","Reviewed")))</x:f>
        <x:v>Pending</x:v>
      </x:c>
    </x:row>
    <x:row r="12" ht="112" customHeight="1">
      <x:c r="A12" s="54" t="n">
        <x:v>9</x:v>
      </x:c>
      <x:c r="B12" s="54" t="str">
        <x:v>G005-A</x:v>
      </x:c>
      <x:c r="C12" s="54" t="str">
        <x:v>G005</x:v>
      </x:c>
      <x:c r="D12" s="54" t="str">
        <x:v>MV-CLEAN-001</x:v>
      </x:c>
      <x:c r="E12" s="54" t="str">
        <x:v>es-MX</x:v>
      </x:c>
      <x:c r="F12" s="54" t="str">
        <x:v>social_ad_copy</x:v>
      </x:c>
      <x:c r="G12" s="54" t="str">
        <x:v>A</x:v>
      </x:c>
      <x:c r="H12" s="22" t="str">
        <x:v>GANCHO: Elimina la suciedad y el exceso de grasa de la piel.
TEXTO: Sin fragancia añadida ni tensioactivos con sulfatos. Contiene glicerina, glicinato de cocoilo de sodio y pantenol. Usa 1–2 bombas en la cara mojada, masajea 30 segundos y lava con agua.
CTA: Compra ahora.</x:v>
      </x:c>
      <x:c r="I12" s="55"/>
      <x:c r="J12" s="55"/>
      <x:c r="K12" s="55"/>
      <x:c r="L12" s="55"/>
      <x:c r="M12" s="55"/>
      <x:c r="N12" s="55"/>
      <x:c r="O12" s="55"/>
      <x:c r="P12" s="55"/>
      <x:c r="Q12" s="55"/>
      <x:c r="R12" s="55"/>
      <x:c r="S12" s="58"/>
      <x:c r="T12" s="55"/>
      <x:c r="U12" s="55" t="str">
        <x:v>Pending</x:v>
      </x:c>
      <x:c r="V12" s="50"/>
      <x:c r="W12" s="50"/>
      <x:c r="X12" s="57" t="str">
        <x:f>IF(COUNT(J12:P12)=7,AVERAGE(J12:P12),"")</x:f>
      </x:c>
      <x:c r="Y12" s="56" t="str">
        <x:f>IF(U12&lt;&gt;"Complete","Pending",IF(OR(I12="",COUNT(J12:P12)&lt;7,Q12="",R12="",S12="",T12=""),"Incomplete",IF(OR(I12="Fail",P12&lt;=2,X12&lt;=3),"Failure","Reviewed")))</x:f>
        <x:v>Pending</x:v>
      </x:c>
    </x:row>
    <x:row r="13" ht="112" customHeight="1">
      <x:c r="A13" s="54" t="n">
        <x:v>10</x:v>
      </x:c>
      <x:c r="B13" s="54" t="str">
        <x:v>G005-B</x:v>
      </x:c>
      <x:c r="C13" s="54" t="str">
        <x:v>G005</x:v>
      </x:c>
      <x:c r="D13" s="54" t="str">
        <x:v>MV-CLEAN-001</x:v>
      </x:c>
      <x:c r="E13" s="54" t="str">
        <x:v>es-MX</x:v>
      </x:c>
      <x:c r="F13" s="54" t="str">
        <x:v>social_ad_copy</x:v>
      </x:c>
      <x:c r="G13" s="54" t="str">
        <x:v>B</x:v>
      </x:c>
      <x:c r="H13" s="22" t="str">
        <x:v>GANCHO: Un inicio claro y sin fragancia añadida para tu rutina.
TEXTO: Sin fragancia añadida ni tensioactivos con sulfatos; ayuda a retirar la suciedad superficial y el exceso de grasa. Masajea de 1 a 2 dosis sobre el rostro húmedo durante unos 30 segundos, enjuaga y evita el contorno de ojos.
CTA: Consulta los detalles.</x:v>
      </x:c>
      <x:c r="I13" s="55"/>
      <x:c r="J13" s="55"/>
      <x:c r="K13" s="55"/>
      <x:c r="L13" s="55"/>
      <x:c r="M13" s="55"/>
      <x:c r="N13" s="55"/>
      <x:c r="O13" s="55"/>
      <x:c r="P13" s="55"/>
      <x:c r="Q13" s="55"/>
      <x:c r="R13" s="55"/>
      <x:c r="S13" s="58"/>
      <x:c r="T13" s="55"/>
      <x:c r="U13" s="55" t="str">
        <x:v>Pending</x:v>
      </x:c>
      <x:c r="V13" s="50"/>
      <x:c r="W13" s="50"/>
      <x:c r="X13" s="57" t="str">
        <x:f>IF(COUNT(J13:P13)=7,AVERAGE(J13:P13),"")</x:f>
      </x:c>
      <x:c r="Y13" s="56" t="str">
        <x:f>IF(U13&lt;&gt;"Complete","Pending",IF(OR(I13="",COUNT(J13:P13)&lt;7,Q13="",R13="",S13="",T13=""),"Incomplete",IF(OR(I13="Fail",P13&lt;=2,X13&lt;=3),"Failure","Reviewed")))</x:f>
        <x:v>Pending</x:v>
      </x:c>
    </x:row>
    <x:row r="14" ht="112" customHeight="1">
      <x:c r="A14" s="54" t="n">
        <x:v>11</x:v>
      </x:c>
      <x:c r="B14" s="54" t="str">
        <x:v>G006-A</x:v>
      </x:c>
      <x:c r="C14" s="54" t="str">
        <x:v>G006</x:v>
      </x:c>
      <x:c r="D14" s="54" t="str">
        <x:v>MV-HAND-001</x:v>
      </x:c>
      <x:c r="E14" s="54" t="str">
        <x:v>en-US</x:v>
      </x:c>
      <x:c r="F14" s="54" t="str">
        <x:v>short_video_script</x:v>
      </x:c>
      <x:c r="G14" s="54" t="str">
        <x:v>A</x:v>
      </x:c>
      <x:c r="H14" s="22" t="str">
        <x:v>00:00–00:03 HOOK — Visual: Product in a simple routine. Voice: A simple hand-care step after washing.
00:03–00:08 VERIFIED FEATURE — Visual: Texture and package. Voice: Made without added fragrance in an aluminum tube.
00:08–00:13 USE + EXPERIENCE — Visual: Demonstrate use. Voice: Helps hands feel soft and moisturized after everyday washing. Massage into hands and around the nails as needed; for external use only.
00:13–00:15 CTA — On-screen: See product details.
CAPTION: Made with glycerin, shea butter, panthenol and allantoin to help hands feel soft and moisturized.</x:v>
      </x:c>
      <x:c r="I14" s="55"/>
      <x:c r="J14" s="55"/>
      <x:c r="K14" s="55"/>
      <x:c r="L14" s="55"/>
      <x:c r="M14" s="55"/>
      <x:c r="N14" s="55"/>
      <x:c r="O14" s="55"/>
      <x:c r="P14" s="55"/>
      <x:c r="Q14" s="55"/>
      <x:c r="R14" s="55"/>
      <x:c r="S14" s="58"/>
      <x:c r="T14" s="55"/>
      <x:c r="U14" s="55" t="str">
        <x:v>Pending</x:v>
      </x:c>
      <x:c r="V14" s="50"/>
      <x:c r="W14" s="50"/>
      <x:c r="X14" s="57" t="str">
        <x:f>IF(COUNT(J14:P14)=7,AVERAGE(J14:P14),"")</x:f>
      </x:c>
      <x:c r="Y14" s="56" t="str">
        <x:f>IF(U14&lt;&gt;"Complete","Pending",IF(OR(I14="",COUNT(J14:P14)&lt;7,Q14="",R14="",S14="",T14=""),"Incomplete",IF(OR(I14="Fail",P14&lt;=2,X14&lt;=3),"Failure","Reviewed")))</x:f>
        <x:v>Pending</x:v>
      </x:c>
    </x:row>
    <x:row r="15" ht="112" customHeight="1">
      <x:c r="A15" s="54" t="n">
        <x:v>12</x:v>
      </x:c>
      <x:c r="B15" s="54" t="str">
        <x:v>G006-B</x:v>
      </x:c>
      <x:c r="C15" s="54" t="str">
        <x:v>G006</x:v>
      </x:c>
      <x:c r="D15" s="54" t="str">
        <x:v>MV-HAND-001</x:v>
      </x:c>
      <x:c r="E15" s="54" t="str">
        <x:v>en-US</x:v>
      </x:c>
      <x:c r="F15" s="54" t="str">
        <x:v>short_video_script</x:v>
      </x:c>
      <x:c r="G15" s="54" t="str">
        <x:v>B</x:v>
      </x:c>
      <x:c r="H15" s="22" t="str">
        <x:v>0–3s: Show Hand Moisturizing Cream. Voice: Repairs dry hands after washing.
3–10s: Show use. Voice: Apply to hands and nail edges repeatedly when needed.
10–15s: Show package. Text: 60 mL. Buy now.
CAPTION: Hand Moisturizing Cream for daily skin care.</x:v>
      </x:c>
      <x:c r="I15" s="55"/>
      <x:c r="J15" s="55"/>
      <x:c r="K15" s="55"/>
      <x:c r="L15" s="55"/>
      <x:c r="M15" s="55"/>
      <x:c r="N15" s="55"/>
      <x:c r="O15" s="55"/>
      <x:c r="P15" s="55"/>
      <x:c r="Q15" s="55"/>
      <x:c r="R15" s="55"/>
      <x:c r="S15" s="58"/>
      <x:c r="T15" s="55"/>
      <x:c r="U15" s="55" t="str">
        <x:v>Pending</x:v>
      </x:c>
      <x:c r="V15" s="50"/>
      <x:c r="W15" s="50"/>
      <x:c r="X15" s="57" t="str">
        <x:f>IF(COUNT(J15:P15)=7,AVERAGE(J15:P15),"")</x:f>
      </x:c>
      <x:c r="Y15" s="56" t="str">
        <x:f>IF(U15&lt;&gt;"Complete","Pending",IF(OR(I15="",COUNT(J15:P15)&lt;7,Q15="",R15="",S15="",T15=""),"Incomplete",IF(OR(I15="Fail",P15&lt;=2,X15&lt;=3),"Failure","Reviewed")))</x:f>
        <x:v>Pending</x:v>
      </x:c>
    </x:row>
    <x:row r="16" ht="112" customHeight="1">
      <x:c r="A16" s="54" t="n">
        <x:v>13</x:v>
      </x:c>
      <x:c r="B16" s="54" t="str">
        <x:v>G007-A</x:v>
      </x:c>
      <x:c r="C16" s="54" t="str">
        <x:v>G007</x:v>
      </x:c>
      <x:c r="D16" s="54" t="str">
        <x:v>MV-HAND-001</x:v>
      </x:c>
      <x:c r="E16" s="54" t="str">
        <x:v>en-US</x:v>
      </x:c>
      <x:c r="F16" s="54" t="str">
        <x:v>product_listing</x:v>
      </x:c>
      <x:c r="G16" s="54" t="str">
        <x:v>A</x:v>
      </x:c>
      <x:c r="H16" s="22" t="str">
        <x:v>TITLE: Mirevane Botanics Fragrance-Free Hand Cream, 60 mL
BULLET 1: Made without added fragrance in an aluminum tube.
BULLET 2: Made with glycerin, shea butter, panthenol and allantoin.
BULLET 3: Helps hands feel soft and moisturized after everyday washing.
BULLET 4: Massage into hands and around the nails as needed; for external use only.
BULLET 5: Presented in a 60 mL aluminum tube with a PP cap.
DESCRIPTION: A simple hand-care step after washing. Made with glycerin, shea butter, panthenol and allantoin to help hands feel soft and moisturized. Massage into hands and around the nails as needed; for external use only.</x:v>
      </x:c>
      <x:c r="I16" s="55"/>
      <x:c r="J16" s="55"/>
      <x:c r="K16" s="55"/>
      <x:c r="L16" s="55"/>
      <x:c r="M16" s="55"/>
      <x:c r="N16" s="55"/>
      <x:c r="O16" s="55"/>
      <x:c r="P16" s="55"/>
      <x:c r="Q16" s="55"/>
      <x:c r="R16" s="55"/>
      <x:c r="S16" s="58"/>
      <x:c r="T16" s="55"/>
      <x:c r="U16" s="55" t="str">
        <x:v>Pending</x:v>
      </x:c>
      <x:c r="V16" s="50"/>
      <x:c r="W16" s="50"/>
      <x:c r="X16" s="57" t="str">
        <x:f>IF(COUNT(J16:P16)=7,AVERAGE(J16:P16),"")</x:f>
      </x:c>
      <x:c r="Y16" s="56" t="str">
        <x:f>IF(U16&lt;&gt;"Complete","Pending",IF(OR(I16="",COUNT(J16:P16)&lt;7,Q16="",R16="",S16="",T16=""),"Incomplete",IF(OR(I16="Fail",P16&lt;=2,X16&lt;=3),"Failure","Reviewed")))</x:f>
        <x:v>Pending</x:v>
      </x:c>
    </x:row>
    <x:row r="17" ht="112" customHeight="1">
      <x:c r="A17" s="54" t="n">
        <x:v>14</x:v>
      </x:c>
      <x:c r="B17" s="54" t="str">
        <x:v>G007-B</x:v>
      </x:c>
      <x:c r="C17" s="54" t="str">
        <x:v>G007</x:v>
      </x:c>
      <x:c r="D17" s="54" t="str">
        <x:v>MV-HAND-001</x:v>
      </x:c>
      <x:c r="E17" s="54" t="str">
        <x:v>en-US</x:v>
      </x:c>
      <x:c r="F17" s="54" t="str">
        <x:v>product_listing</x:v>
      </x:c>
      <x:c r="G17" s="54" t="str">
        <x:v>B</x:v>
      </x:c>
      <x:c r="H17" s="22" t="str">
        <x:v>TITLE: Mirevane Botanics Hand Moisturizing Cream, 60 mL
BULLET 1: made without added fragrance in an aluminum tube.
BULLET 2: Contains glycerin, shea butter, panthenol and allantoin.
BULLET 3: Repairs dry hands after washing.
DESCRIPTION: Apply to hands and nail edges repeatedly when needed. Package: 60 mL aluminum tube with a PP cap.</x:v>
      </x:c>
      <x:c r="I17" s="55"/>
      <x:c r="J17" s="55"/>
      <x:c r="K17" s="55"/>
      <x:c r="L17" s="55"/>
      <x:c r="M17" s="55"/>
      <x:c r="N17" s="55"/>
      <x:c r="O17" s="55"/>
      <x:c r="P17" s="55"/>
      <x:c r="Q17" s="55"/>
      <x:c r="R17" s="55"/>
      <x:c r="S17" s="58"/>
      <x:c r="T17" s="55"/>
      <x:c r="U17" s="55" t="str">
        <x:v>Pending</x:v>
      </x:c>
      <x:c r="V17" s="50"/>
      <x:c r="W17" s="50"/>
      <x:c r="X17" s="57" t="str">
        <x:f>IF(COUNT(J17:P17)=7,AVERAGE(J17:P17),"")</x:f>
      </x:c>
      <x:c r="Y17" s="56" t="str">
        <x:f>IF(U17&lt;&gt;"Complete","Pending",IF(OR(I17="",COUNT(J17:P17)&lt;7,Q17="",R17="",S17="",T17=""),"Incomplete",IF(OR(I17="Fail",P17&lt;=2,X17&lt;=3),"Failure","Reviewed")))</x:f>
        <x:v>Pending</x:v>
      </x:c>
    </x:row>
    <x:row r="18" ht="112" customHeight="1">
      <x:c r="A18" s="54" t="n">
        <x:v>15</x:v>
      </x:c>
      <x:c r="B18" s="54" t="str">
        <x:v>G008-A</x:v>
      </x:c>
      <x:c r="C18" s="54" t="str">
        <x:v>G008</x:v>
      </x:c>
      <x:c r="D18" s="54" t="str">
        <x:v>MV-CLEAN-001</x:v>
      </x:c>
      <x:c r="E18" s="54" t="str">
        <x:v>es-MX</x:v>
      </x:c>
      <x:c r="F18" s="54" t="str">
        <x:v>short_video_script</x:v>
      </x:c>
      <x:c r="G18" s="54" t="str">
        <x:v>A</x:v>
      </x:c>
      <x:c r="H18" s="22" t="str">
        <x:v>0–3 s: Muestra Limpiador facial de aminoácidos. Voz: Elimina la suciedad y el exceso de grasa de la piel.
3–10 s: Muestra uso. Voz: Usa 1–2 bombas en la cara mojada, masajea 30 segundos y lava con agua.
10–15 s: Muestra empaque. Texto: 120 mL. Compra ahora.
TEXTO: Limpiador facial de aminoácidos para el cuidado diario de piel.</x:v>
      </x:c>
      <x:c r="I18" s="55"/>
      <x:c r="J18" s="55"/>
      <x:c r="K18" s="55"/>
      <x:c r="L18" s="55"/>
      <x:c r="M18" s="55"/>
      <x:c r="N18" s="55"/>
      <x:c r="O18" s="55"/>
      <x:c r="P18" s="55"/>
      <x:c r="Q18" s="55"/>
      <x:c r="R18" s="55"/>
      <x:c r="S18" s="58"/>
      <x:c r="T18" s="55"/>
      <x:c r="U18" s="55" t="str">
        <x:v>Pending</x:v>
      </x:c>
      <x:c r="V18" s="50"/>
      <x:c r="W18" s="50"/>
      <x:c r="X18" s="57" t="str">
        <x:f>IF(COUNT(J18:P18)=7,AVERAGE(J18:P18),"")</x:f>
      </x:c>
      <x:c r="Y18" s="56" t="str">
        <x:f>IF(U18&lt;&gt;"Complete","Pending",IF(OR(I18="",COUNT(J18:P18)&lt;7,Q18="",R18="",S18="",T18=""),"Incomplete",IF(OR(I18="Fail",P18&lt;=2,X18&lt;=3),"Failure","Reviewed")))</x:f>
        <x:v>Pending</x:v>
      </x:c>
    </x:row>
    <x:row r="19" ht="112" customHeight="1">
      <x:c r="A19" s="54" t="n">
        <x:v>16</x:v>
      </x:c>
      <x:c r="B19" s="54" t="str">
        <x:v>G008-B</x:v>
      </x:c>
      <x:c r="C19" s="54" t="str">
        <x:v>G008</x:v>
      </x:c>
      <x:c r="D19" s="54" t="str">
        <x:v>MV-CLEAN-001</x:v>
      </x:c>
      <x:c r="E19" s="54" t="str">
        <x:v>es-MX</x:v>
      </x:c>
      <x:c r="F19" s="54" t="str">
        <x:v>short_video_script</x:v>
      </x:c>
      <x:c r="G19" s="54" t="str">
        <x:v>B</x:v>
      </x:c>
      <x:c r="H19" s="22" t="str">
        <x:v>00:00–00:03 GANCHO — Visual: Producto en una rutina sencilla. Voz: Un inicio claro y sin fragancia añadida para tu rutina.
00:03–00:08 CARACTERÍSTICA — Visual: Textura y envase. Voz: Sin fragancia añadida ni tensioactivos con sulfatos.
00:08–00:13 USO + EXPERIENCIA — Visual: Demostración de uso. Voz: Ayuda a retirar la suciedad superficial y el exceso de grasa, dejando una sensación cómoda. Masajea de 1 a 2 dosis sobre el rostro húmedo durante unos 30 segundos, enjuaga y evita el contorno de ojos.
00:13–00:15 CTA — Texto en pantalla: Consulta los detalles.
TEXTO: Sin fragancia añadida ni tensioactivos con sulfatos; ayuda a retirar la suciedad superficial y el exceso de grasa.</x:v>
      </x:c>
      <x:c r="I19" s="55"/>
      <x:c r="J19" s="55"/>
      <x:c r="K19" s="55"/>
      <x:c r="L19" s="55"/>
      <x:c r="M19" s="55"/>
      <x:c r="N19" s="55"/>
      <x:c r="O19" s="55"/>
      <x:c r="P19" s="55"/>
      <x:c r="Q19" s="55"/>
      <x:c r="R19" s="55"/>
      <x:c r="S19" s="58"/>
      <x:c r="T19" s="55"/>
      <x:c r="U19" s="55" t="str">
        <x:v>Pending</x:v>
      </x:c>
      <x:c r="V19" s="50"/>
      <x:c r="W19" s="50"/>
      <x:c r="X19" s="57" t="str">
        <x:f>IF(COUNT(J19:P19)=7,AVERAGE(J19:P19),"")</x:f>
      </x:c>
      <x:c r="Y19" s="56" t="str">
        <x:f>IF(U19&lt;&gt;"Complete","Pending",IF(OR(I19="",COUNT(J19:P19)&lt;7,Q19="",R19="",S19="",T19=""),"Incomplete",IF(OR(I19="Fail",P19&lt;=2,X19&lt;=3),"Failure","Reviewed")))</x:f>
        <x:v>Pending</x:v>
      </x:c>
    </x:row>
    <x:row r="20" ht="112" customHeight="1">
      <x:c r="A20" s="54" t="n">
        <x:v>17</x:v>
      </x:c>
      <x:c r="B20" s="54" t="str">
        <x:v>G009-A</x:v>
      </x:c>
      <x:c r="C20" s="54" t="str">
        <x:v>G009</x:v>
      </x:c>
      <x:c r="D20" s="54" t="str">
        <x:v>MV-KIT-001</x:v>
      </x:c>
      <x:c r="E20" s="54" t="str">
        <x:v>en-US</x:v>
      </x:c>
      <x:c r="F20" s="54" t="str">
        <x:v>short_video_script</x:v>
      </x:c>
      <x:c r="G20" s="54" t="str">
        <x:v>A</x:v>
      </x:c>
      <x:c r="H20" s="22" t="str">
        <x:v>0–3s: Show Travel Skin Care Kit. Voice: Covers all of your skincare needs while traveling.
3–10s: Show use. Voice: Use cleanser first, serum second and cream third.
10–15s: Show package. Text: 3 pieces / 55 mL total. Buy now.
CAPTION: Travel Skin Care Kit for daily skin care.</x:v>
      </x:c>
      <x:c r="I20" s="55"/>
      <x:c r="J20" s="55"/>
      <x:c r="K20" s="55"/>
      <x:c r="L20" s="55"/>
      <x:c r="M20" s="55"/>
      <x:c r="N20" s="55"/>
      <x:c r="O20" s="55"/>
      <x:c r="P20" s="55"/>
      <x:c r="Q20" s="55"/>
      <x:c r="R20" s="55"/>
      <x:c r="S20" s="58"/>
      <x:c r="T20" s="55"/>
      <x:c r="U20" s="55" t="str">
        <x:v>Pending</x:v>
      </x:c>
      <x:c r="V20" s="50"/>
      <x:c r="W20" s="50"/>
      <x:c r="X20" s="57" t="str">
        <x:f>IF(COUNT(J20:P20)=7,AVERAGE(J20:P20),"")</x:f>
      </x:c>
      <x:c r="Y20" s="56" t="str">
        <x:f>IF(U20&lt;&gt;"Complete","Pending",IF(OR(I20="",COUNT(J20:P20)&lt;7,Q20="",R20="",S20="",T20=""),"Incomplete",IF(OR(I20="Fail",P20&lt;=2,X20&lt;=3),"Failure","Reviewed")))</x:f>
        <x:v>Pending</x:v>
      </x:c>
    </x:row>
    <x:row r="21" ht="112" customHeight="1">
      <x:c r="A21" s="54" t="n">
        <x:v>18</x:v>
      </x:c>
      <x:c r="B21" s="54" t="str">
        <x:v>G009-B</x:v>
      </x:c>
      <x:c r="C21" s="54" t="str">
        <x:v>G009</x:v>
      </x:c>
      <x:c r="D21" s="54" t="str">
        <x:v>MV-KIT-001</x:v>
      </x:c>
      <x:c r="E21" s="54" t="str">
        <x:v>en-US</x:v>
      </x:c>
      <x:c r="F21" s="54" t="str">
        <x:v>short_video_script</x:v>
      </x:c>
      <x:c r="G21" s="54" t="str">
        <x:v>B</x:v>
      </x:c>
      <x:c r="H21" s="22" t="str">
        <x:v>00:00–00:03 HOOK — Visual: Product in a simple routine. Voice: Three simple steps in a travel-size set.
00:03–00:08 VERIFIED FEATURE — Visual: Texture and package. Voice: Three fragrance-free mini products in one paper box.
00:08–00:13 USE + EXPERIENCE — Visual: Demonstrate use. Voice: Combines basic cleansing, hydration and moisturizing steps for simpler packing. Use the cleanser, serum and moisturizer in that order, following each product's directions.
00:13–00:15 CTA — On-screen: See product details.
CAPTION: A fragrance-free cleanser, serum and moisturizer organized in one compact paper box.</x:v>
      </x:c>
      <x:c r="I21" s="55"/>
      <x:c r="J21" s="55"/>
      <x:c r="K21" s="55"/>
      <x:c r="L21" s="55"/>
      <x:c r="M21" s="55"/>
      <x:c r="N21" s="55"/>
      <x:c r="O21" s="55"/>
      <x:c r="P21" s="55"/>
      <x:c r="Q21" s="55"/>
      <x:c r="R21" s="55"/>
      <x:c r="S21" s="58"/>
      <x:c r="T21" s="55"/>
      <x:c r="U21" s="55" t="str">
        <x:v>Pending</x:v>
      </x:c>
      <x:c r="V21" s="50"/>
      <x:c r="W21" s="50"/>
      <x:c r="X21" s="57" t="str">
        <x:f>IF(COUNT(J21:P21)=7,AVERAGE(J21:P21),"")</x:f>
      </x:c>
      <x:c r="Y21" s="56" t="str">
        <x:f>IF(U21&lt;&gt;"Complete","Pending",IF(OR(I21="",COUNT(J21:P21)&lt;7,Q21="",R21="",S21="",T21=""),"Incomplete",IF(OR(I21="Fail",P21&lt;=2,X21&lt;=3),"Failure","Reviewed")))</x:f>
        <x:v>Pending</x:v>
      </x:c>
    </x:row>
    <x:row r="22" ht="112" customHeight="1">
      <x:c r="A22" s="54" t="n">
        <x:v>19</x:v>
      </x:c>
      <x:c r="B22" s="54" t="str">
        <x:v>G010-A</x:v>
      </x:c>
      <x:c r="C22" s="54" t="str">
        <x:v>G010</x:v>
      </x:c>
      <x:c r="D22" s="54" t="str">
        <x:v>MV-SERUM-001</x:v>
      </x:c>
      <x:c r="E22" s="54" t="str">
        <x:v>en-US</x:v>
      </x:c>
      <x:c r="F22" s="54" t="str">
        <x:v>short_video_script</x:v>
      </x:c>
      <x:c r="G22" s="54" t="str">
        <x:v>A</x:v>
      </x:c>
      <x:c r="H22" s="22" t="str">
        <x:v>0–3s: Show Moisturizing Serum. Voice: Hydrates and softens the skin.
3–10s: Show use. Voice: After washing, pump 1–2 times on face and neck, then use cream.
10–15s: Show package. Text: 30 mL. Buy now.
CAPTION: Moisturizing Serum for daily skin care.</x:v>
      </x:c>
      <x:c r="I22" s="55"/>
      <x:c r="J22" s="55"/>
      <x:c r="K22" s="55"/>
      <x:c r="L22" s="55"/>
      <x:c r="M22" s="55"/>
      <x:c r="N22" s="55"/>
      <x:c r="O22" s="55"/>
      <x:c r="P22" s="55"/>
      <x:c r="Q22" s="55"/>
      <x:c r="R22" s="55"/>
      <x:c r="S22" s="58"/>
      <x:c r="T22" s="55"/>
      <x:c r="U22" s="55" t="str">
        <x:v>Pending</x:v>
      </x:c>
      <x:c r="V22" s="50"/>
      <x:c r="W22" s="50"/>
      <x:c r="X22" s="57" t="str">
        <x:f>IF(COUNT(J22:P22)=7,AVERAGE(J22:P22),"")</x:f>
      </x:c>
      <x:c r="Y22" s="56" t="str">
        <x:f>IF(U22&lt;&gt;"Complete","Pending",IF(OR(I22="",COUNT(J22:P22)&lt;7,Q22="",R22="",S22="",T22=""),"Incomplete",IF(OR(I22="Fail",P22&lt;=2,X22&lt;=3),"Failure","Reviewed")))</x:f>
        <x:v>Pending</x:v>
      </x:c>
    </x:row>
    <x:row r="23" ht="112" customHeight="1">
      <x:c r="A23" s="54" t="n">
        <x:v>20</x:v>
      </x:c>
      <x:c r="B23" s="54" t="str">
        <x:v>G010-B</x:v>
      </x:c>
      <x:c r="C23" s="54" t="str">
        <x:v>G010</x:v>
      </x:c>
      <x:c r="D23" s="54" t="str">
        <x:v>MV-SERUM-001</x:v>
      </x:c>
      <x:c r="E23" s="54" t="str">
        <x:v>en-US</x:v>
      </x:c>
      <x:c r="F23" s="54" t="str">
        <x:v>short_video_script</x:v>
      </x:c>
      <x:c r="G23" s="54" t="str">
        <x:v>B</x:v>
      </x:c>
      <x:c r="H23" s="22" t="str">
        <x:v>00:00–00:03 HOOK — Visual: Product in a simple routine. Voice: Light hydration before moisturizer.
00:03–00:08 VERIFIED FEATURE — Visual: Texture and package. Voice: A water-based gel made without added fragrance.
00:08–00:13 USE + EXPERIENCE — Visual: Demonstrate use. Voice: Helps skin feel hydrated and soft. Apply 1–2 pumps to the face and neck after cleansing, follow with moisturizer, and avoid the eye area.
00:13–00:15 CTA — On-screen: See product details.
CAPTION: A water-based gel with glycerin, sodium hyaluronate and panthenol that helps skin feel hydrated.</x:v>
      </x:c>
      <x:c r="I23" s="55"/>
      <x:c r="J23" s="55"/>
      <x:c r="K23" s="55"/>
      <x:c r="L23" s="55"/>
      <x:c r="M23" s="55"/>
      <x:c r="N23" s="55"/>
      <x:c r="O23" s="55"/>
      <x:c r="P23" s="55"/>
      <x:c r="Q23" s="55"/>
      <x:c r="R23" s="55"/>
      <x:c r="S23" s="58"/>
      <x:c r="T23" s="55"/>
      <x:c r="U23" s="55" t="str">
        <x:v>Pending</x:v>
      </x:c>
      <x:c r="V23" s="50"/>
      <x:c r="W23" s="50"/>
      <x:c r="X23" s="57" t="str">
        <x:f>IF(COUNT(J23:P23)=7,AVERAGE(J23:P23),"")</x:f>
      </x:c>
      <x:c r="Y23" s="56" t="str">
        <x:f>IF(U23&lt;&gt;"Complete","Pending",IF(OR(I23="",COUNT(J23:P23)&lt;7,Q23="",R23="",S23="",T23=""),"Incomplete",IF(OR(I23="Fail",P23&lt;=2,X23&lt;=3),"Failure","Reviewed")))</x:f>
        <x:v>Pending</x:v>
      </x:c>
    </x:row>
    <x:row r="24" ht="112" customHeight="1">
      <x:c r="A24" s="54" t="n">
        <x:v>21</x:v>
      </x:c>
      <x:c r="B24" s="54" t="str">
        <x:v>G011-A</x:v>
      </x:c>
      <x:c r="C24" s="54" t="str">
        <x:v>G011</x:v>
      </x:c>
      <x:c r="D24" s="54" t="str">
        <x:v>MV-CREAM-001</x:v>
      </x:c>
      <x:c r="E24" s="54" t="str">
        <x:v>es-MX</x:v>
      </x:c>
      <x:c r="F24" s="54" t="str">
        <x:v>social_ad_copy</x:v>
      </x:c>
      <x:c r="G24" s="54" t="str">
        <x:v>A</x:v>
      </x:c>
      <x:c r="H24" s="22" t="str">
        <x:v>GANCHO: Un paso hidratante sin fragancia añadida.
TEXTO: Con escualano, pantenol y beta-glucano para ayudar a que la piel se sienta suave e hidratada. Aplícala en el rostro y cuello limpios; durante el día, continúa con protector solar.
CTA: Consulta los detalles.</x:v>
      </x:c>
      <x:c r="I24" s="55"/>
      <x:c r="J24" s="55"/>
      <x:c r="K24" s="55"/>
      <x:c r="L24" s="55"/>
      <x:c r="M24" s="55"/>
      <x:c r="N24" s="55"/>
      <x:c r="O24" s="55"/>
      <x:c r="P24" s="55"/>
      <x:c r="Q24" s="55"/>
      <x:c r="R24" s="55"/>
      <x:c r="S24" s="58"/>
      <x:c r="T24" s="55"/>
      <x:c r="U24" s="55" t="str">
        <x:v>Pending</x:v>
      </x:c>
      <x:c r="V24" s="50"/>
      <x:c r="W24" s="50"/>
      <x:c r="X24" s="57" t="str">
        <x:f>IF(COUNT(J24:P24)=7,AVERAGE(J24:P24),"")</x:f>
      </x:c>
      <x:c r="Y24" s="56" t="str">
        <x:f>IF(U24&lt;&gt;"Complete","Pending",IF(OR(I24="",COUNT(J24:P24)&lt;7,Q24="",R24="",S24="",T24=""),"Incomplete",IF(OR(I24="Fail",P24&lt;=2,X24&lt;=3),"Failure","Reviewed")))</x:f>
        <x:v>Pending</x:v>
      </x:c>
    </x:row>
    <x:row r="25" ht="112" customHeight="1">
      <x:c r="A25" s="54" t="n">
        <x:v>22</x:v>
      </x:c>
      <x:c r="B25" s="54" t="str">
        <x:v>G011-B</x:v>
      </x:c>
      <x:c r="C25" s="54" t="str">
        <x:v>G011</x:v>
      </x:c>
      <x:c r="D25" s="54" t="str">
        <x:v>MV-CREAM-001</x:v>
      </x:c>
      <x:c r="E25" s="54" t="str">
        <x:v>es-MX</x:v>
      </x:c>
      <x:c r="F25" s="54" t="str">
        <x:v>social_ad_copy</x:v>
      </x:c>
      <x:c r="G25" s="54" t="str">
        <x:v>B</x:v>
      </x:c>
      <x:c r="H25" s="22" t="str">
        <x:v>GANCHO: Hidrata la piel seca.
TEXTO: Textura en crema sin fragancia añadida. Contiene glicerina, escualano, pantenol y beta-glucano. Pon una cantidad adecuada en cara y cuello limpios y usa bloqueador en el día.
CTA: Compra ahora.</x:v>
      </x:c>
      <x:c r="I25" s="55"/>
      <x:c r="J25" s="55"/>
      <x:c r="K25" s="55"/>
      <x:c r="L25" s="55"/>
      <x:c r="M25" s="55"/>
      <x:c r="N25" s="55"/>
      <x:c r="O25" s="55"/>
      <x:c r="P25" s="55"/>
      <x:c r="Q25" s="55"/>
      <x:c r="R25" s="55"/>
      <x:c r="S25" s="58"/>
      <x:c r="T25" s="55"/>
      <x:c r="U25" s="55" t="str">
        <x:v>Pending</x:v>
      </x:c>
      <x:c r="V25" s="50"/>
      <x:c r="W25" s="50"/>
      <x:c r="X25" s="57" t="str">
        <x:f>IF(COUNT(J25:P25)=7,AVERAGE(J25:P25),"")</x:f>
      </x:c>
      <x:c r="Y25" s="56" t="str">
        <x:f>IF(U25&lt;&gt;"Complete","Pending",IF(OR(I25="",COUNT(J25:P25)&lt;7,Q25="",R25="",S25="",T25=""),"Incomplete",IF(OR(I25="Fail",P25&lt;=2,X25&lt;=3),"Failure","Reviewed")))</x:f>
        <x:v>Pending</x:v>
      </x:c>
    </x:row>
    <x:row r="26" ht="112" customHeight="1">
      <x:c r="A26" s="54" t="n">
        <x:v>23</x:v>
      </x:c>
      <x:c r="B26" s="54" t="str">
        <x:v>G012-A</x:v>
      </x:c>
      <x:c r="C26" s="54" t="str">
        <x:v>G012</x:v>
      </x:c>
      <x:c r="D26" s="54" t="str">
        <x:v>MV-CREAM-001</x:v>
      </x:c>
      <x:c r="E26" s="54" t="str">
        <x:v>es-MX</x:v>
      </x:c>
      <x:c r="F26" s="54" t="str">
        <x:v>short_video_script</x:v>
      </x:c>
      <x:c r="G26" s="54" t="str">
        <x:v>A</x:v>
      </x:c>
      <x:c r="H26" s="22" t="str">
        <x:v>0–3 s: Muestra Crema de cara libre de fragancia. Voz: Hidrata la piel seca.
3–10 s: Muestra uso. Voz: Pon una cantidad adecuada en cara y cuello limpios y usa bloqueador en el día.
10–15 s: Muestra empaque. Texto: 50 mL. Compra ahora.
TEXTO: Crema de cara libre de fragancia para el cuidado diario de piel.</x:v>
      </x:c>
      <x:c r="I26" s="55"/>
      <x:c r="J26" s="55"/>
      <x:c r="K26" s="55"/>
      <x:c r="L26" s="55"/>
      <x:c r="M26" s="55"/>
      <x:c r="N26" s="55"/>
      <x:c r="O26" s="55"/>
      <x:c r="P26" s="55"/>
      <x:c r="Q26" s="55"/>
      <x:c r="R26" s="55"/>
      <x:c r="S26" s="58"/>
      <x:c r="T26" s="55"/>
      <x:c r="U26" s="55" t="str">
        <x:v>Pending</x:v>
      </x:c>
      <x:c r="V26" s="50"/>
      <x:c r="W26" s="50"/>
      <x:c r="X26" s="57" t="str">
        <x:f>IF(COUNT(J26:P26)=7,AVERAGE(J26:P26),"")</x:f>
      </x:c>
      <x:c r="Y26" s="56" t="str">
        <x:f>IF(U26&lt;&gt;"Complete","Pending",IF(OR(I26="",COUNT(J26:P26)&lt;7,Q26="",R26="",S26="",T26=""),"Incomplete",IF(OR(I26="Fail",P26&lt;=2,X26&lt;=3),"Failure","Reviewed")))</x:f>
        <x:v>Pending</x:v>
      </x:c>
    </x:row>
    <x:row r="27" ht="112" customHeight="1">
      <x:c r="A27" s="54" t="n">
        <x:v>24</x:v>
      </x:c>
      <x:c r="B27" s="54" t="str">
        <x:v>G012-B</x:v>
      </x:c>
      <x:c r="C27" s="54" t="str">
        <x:v>G012</x:v>
      </x:c>
      <x:c r="D27" s="54" t="str">
        <x:v>MV-CREAM-001</x:v>
      </x:c>
      <x:c r="E27" s="54" t="str">
        <x:v>es-MX</x:v>
      </x:c>
      <x:c r="F27" s="54" t="str">
        <x:v>short_video_script</x:v>
      </x:c>
      <x:c r="G27" s="54" t="str">
        <x:v>B</x:v>
      </x:c>
      <x:c r="H27" s="22" t="str">
        <x:v>00:00–00:03 GANCHO — Visual: Producto en una rutina sencilla. Voz: Un paso hidratante sin fragancia añadida.
00:03–00:08 CARACTERÍSTICA — Visual: Textura y envase. Voz: Textura en crema sin fragancia añadida.
00:08–00:13 USO + EXPERIENCIA — Visual: Demostración de uso. Voz: Ayuda a que la piel se sienta suave e hidratada. Aplícala en el rostro y cuello limpios; durante el día, continúa con protector solar.
00:13–00:15 CTA — Texto en pantalla: Consulta los detalles.
TEXTO: Con escualano, pantenol y beta-glucano para ayudar a que la piel se sienta suave e hidratada.</x:v>
      </x:c>
      <x:c r="I27" s="55"/>
      <x:c r="J27" s="55"/>
      <x:c r="K27" s="55"/>
      <x:c r="L27" s="55"/>
      <x:c r="M27" s="55"/>
      <x:c r="N27" s="55"/>
      <x:c r="O27" s="55"/>
      <x:c r="P27" s="55"/>
      <x:c r="Q27" s="55"/>
      <x:c r="R27" s="55"/>
      <x:c r="S27" s="58"/>
      <x:c r="T27" s="55"/>
      <x:c r="U27" s="55" t="str">
        <x:v>Pending</x:v>
      </x:c>
      <x:c r="V27" s="50"/>
      <x:c r="W27" s="50"/>
      <x:c r="X27" s="57" t="str">
        <x:f>IF(COUNT(J27:P27)=7,AVERAGE(J27:P27),"")</x:f>
      </x:c>
      <x:c r="Y27" s="56" t="str">
        <x:f>IF(U27&lt;&gt;"Complete","Pending",IF(OR(I27="",COUNT(J27:P27)&lt;7,Q27="",R27="",S27="",T27=""),"Incomplete",IF(OR(I27="Fail",P27&lt;=2,X27&lt;=3),"Failure","Reviewed")))</x:f>
        <x:v>Pending</x:v>
      </x:c>
    </x:row>
    <x:row r="28" ht="112" customHeight="1">
      <x:c r="A28" s="54" t="n">
        <x:v>25</x:v>
      </x:c>
      <x:c r="B28" s="54" t="str">
        <x:v>G013-A</x:v>
      </x:c>
      <x:c r="C28" s="54" t="str">
        <x:v>G013</x:v>
      </x:c>
      <x:c r="D28" s="54" t="str">
        <x:v>MV-CLEAN-001</x:v>
      </x:c>
      <x:c r="E28" s="54" t="str">
        <x:v>en-US</x:v>
      </x:c>
      <x:c r="F28" s="54" t="str">
        <x:v>short_video_script</x:v>
      </x:c>
      <x:c r="G28" s="54" t="str">
        <x:v>A</x:v>
      </x:c>
      <x:c r="H28" s="22" t="str">
        <x:v>0–3s: Show Amino Acid Facial Cleanser. Voice: Removes dirt and excess oil from skin.
3–10s: Show use. Voice: Use 1–2 pumps on the wet face, massage for 30 seconds and wash with water.
10–15s: Show package. Text: 120 mL. Buy now.
CAPTION: Amino Acid Facial Cleanser for daily skin care.</x:v>
      </x:c>
      <x:c r="I28" s="55"/>
      <x:c r="J28" s="55"/>
      <x:c r="K28" s="55"/>
      <x:c r="L28" s="55"/>
      <x:c r="M28" s="55"/>
      <x:c r="N28" s="55"/>
      <x:c r="O28" s="55"/>
      <x:c r="P28" s="55"/>
      <x:c r="Q28" s="55"/>
      <x:c r="R28" s="55"/>
      <x:c r="S28" s="58"/>
      <x:c r="T28" s="55"/>
      <x:c r="U28" s="55" t="str">
        <x:v>Pending</x:v>
      </x:c>
      <x:c r="V28" s="50"/>
      <x:c r="W28" s="50"/>
      <x:c r="X28" s="57" t="str">
        <x:f>IF(COUNT(J28:P28)=7,AVERAGE(J28:P28),"")</x:f>
      </x:c>
      <x:c r="Y28" s="56" t="str">
        <x:f>IF(U28&lt;&gt;"Complete","Pending",IF(OR(I28="",COUNT(J28:P28)&lt;7,Q28="",R28="",S28="",T28=""),"Incomplete",IF(OR(I28="Fail",P28&lt;=2,X28&lt;=3),"Failure","Reviewed")))</x:f>
        <x:v>Pending</x:v>
      </x:c>
    </x:row>
    <x:row r="29" ht="112" customHeight="1">
      <x:c r="A29" s="54" t="n">
        <x:v>26</x:v>
      </x:c>
      <x:c r="B29" s="54" t="str">
        <x:v>G013-B</x:v>
      </x:c>
      <x:c r="C29" s="54" t="str">
        <x:v>G013</x:v>
      </x:c>
      <x:c r="D29" s="54" t="str">
        <x:v>MV-CLEAN-001</x:v>
      </x:c>
      <x:c r="E29" s="54" t="str">
        <x:v>en-US</x:v>
      </x:c>
      <x:c r="F29" s="54" t="str">
        <x:v>short_video_script</x:v>
      </x:c>
      <x:c r="G29" s="54" t="str">
        <x:v>B</x:v>
      </x:c>
      <x:c r="H29" s="22" t="str">
        <x:v>00:00–00:03 HOOK — Visual: Product in a simple routine. Voice: A clear, fragrance-free start to your routine.
00:03–00:08 VERIFIED FEATURE — Visual: Texture and package. Voice: Made without added fragrance or sulfate surfactants.
00:08–00:13 USE + EXPERIENCE — Visual: Demonstrate use. Voice: Helps remove surface dirt and excess oil while leaving skin feeling comfortable. Massage 1–2 pumps over a wet face for about 30 seconds, rinse, and avoid the eye area.
00:13–00:15 CTA — On-screen: See product details.
CAPTION: Made without added fragrance or sulfate surfactants, this cleanser helps remove surface dirt and excess oil.</x:v>
      </x:c>
      <x:c r="I29" s="55"/>
      <x:c r="J29" s="55"/>
      <x:c r="K29" s="55"/>
      <x:c r="L29" s="55"/>
      <x:c r="M29" s="55"/>
      <x:c r="N29" s="55"/>
      <x:c r="O29" s="55"/>
      <x:c r="P29" s="55"/>
      <x:c r="Q29" s="55"/>
      <x:c r="R29" s="55"/>
      <x:c r="S29" s="58"/>
      <x:c r="T29" s="55"/>
      <x:c r="U29" s="55" t="str">
        <x:v>Pending</x:v>
      </x:c>
      <x:c r="V29" s="50"/>
      <x:c r="W29" s="50"/>
      <x:c r="X29" s="57" t="str">
        <x:f>IF(COUNT(J29:P29)=7,AVERAGE(J29:P29),"")</x:f>
      </x:c>
      <x:c r="Y29" s="56" t="str">
        <x:f>IF(U29&lt;&gt;"Complete","Pending",IF(OR(I29="",COUNT(J29:P29)&lt;7,Q29="",R29="",S29="",T29=""),"Incomplete",IF(OR(I29="Fail",P29&lt;=2,X29&lt;=3),"Failure","Reviewed")))</x:f>
        <x:v>Pending</x:v>
      </x:c>
    </x:row>
    <x:row r="30" ht="112" customHeight="1">
      <x:c r="A30" s="54" t="n">
        <x:v>27</x:v>
      </x:c>
      <x:c r="B30" s="54" t="str">
        <x:v>G014-A</x:v>
      </x:c>
      <x:c r="C30" s="54" t="str">
        <x:v>G014</x:v>
      </x:c>
      <x:c r="D30" s="54" t="str">
        <x:v>MV-SERUM-001</x:v>
      </x:c>
      <x:c r="E30" s="54" t="str">
        <x:v>es-MX</x:v>
      </x:c>
      <x:c r="F30" s="54" t="str">
        <x:v>social_ad_copy</x:v>
      </x:c>
      <x:c r="G30" s="54" t="str">
        <x:v>A</x:v>
      </x:c>
      <x:c r="H30" s="22" t="str">
        <x:v>GANCHO: Hidratación ligera antes de tu crema.
TEXTO: Un gel de base acuosa con glicerina, hialuronato de sodio y pantenol que ayuda a que la piel se sienta hidratada. Después de limpiar el rostro, aplica de 1 a 2 dosis en cara y cuello, continúa con tu crema hidratante y evita el contorno de ojos.
CTA: Consulta los detalles.</x:v>
      </x:c>
      <x:c r="I30" s="55"/>
      <x:c r="J30" s="55"/>
      <x:c r="K30" s="55"/>
      <x:c r="L30" s="55"/>
      <x:c r="M30" s="55"/>
      <x:c r="N30" s="55"/>
      <x:c r="O30" s="55"/>
      <x:c r="P30" s="55"/>
      <x:c r="Q30" s="55"/>
      <x:c r="R30" s="55"/>
      <x:c r="S30" s="58"/>
      <x:c r="T30" s="55"/>
      <x:c r="U30" s="55" t="str">
        <x:v>Pending</x:v>
      </x:c>
      <x:c r="V30" s="50"/>
      <x:c r="W30" s="50"/>
      <x:c r="X30" s="57" t="str">
        <x:f>IF(COUNT(J30:P30)=7,AVERAGE(J30:P30),"")</x:f>
      </x:c>
      <x:c r="Y30" s="56" t="str">
        <x:f>IF(U30&lt;&gt;"Complete","Pending",IF(OR(I30="",COUNT(J30:P30)&lt;7,Q30="",R30="",S30="",T30=""),"Incomplete",IF(OR(I30="Fail",P30&lt;=2,X30&lt;=3),"Failure","Reviewed")))</x:f>
        <x:v>Pending</x:v>
      </x:c>
    </x:row>
    <x:row r="31" ht="112" customHeight="1">
      <x:c r="A31" s="54" t="n">
        <x:v>28</x:v>
      </x:c>
      <x:c r="B31" s="54" t="str">
        <x:v>G014-B</x:v>
      </x:c>
      <x:c r="C31" s="54" t="str">
        <x:v>G014</x:v>
      </x:c>
      <x:c r="D31" s="54" t="str">
        <x:v>MV-SERUM-001</x:v>
      </x:c>
      <x:c r="E31" s="54" t="str">
        <x:v>es-MX</x:v>
      </x:c>
      <x:c r="F31" s="54" t="str">
        <x:v>social_ad_copy</x:v>
      </x:c>
      <x:c r="G31" s="54" t="str">
        <x:v>B</x:v>
      </x:c>
      <x:c r="H31" s="22" t="str">
        <x:v>GANCHO: Hidrata y suaviza la piel.
TEXTO: Gel de base acuosa sin fragancia añadida. Contiene glicerina, hialuronato de sodio y pantenol. Después de lavar, bombea 1–2 veces en cara y cuello y luego usa crema.
CTA: Compra ahora.</x:v>
      </x:c>
      <x:c r="I31" s="55"/>
      <x:c r="J31" s="55"/>
      <x:c r="K31" s="55"/>
      <x:c r="L31" s="55"/>
      <x:c r="M31" s="55"/>
      <x:c r="N31" s="55"/>
      <x:c r="O31" s="55"/>
      <x:c r="P31" s="55"/>
      <x:c r="Q31" s="55"/>
      <x:c r="R31" s="55"/>
      <x:c r="S31" s="58"/>
      <x:c r="T31" s="55"/>
      <x:c r="U31" s="55" t="str">
        <x:v>Pending</x:v>
      </x:c>
      <x:c r="V31" s="50"/>
      <x:c r="W31" s="50"/>
      <x:c r="X31" s="57" t="str">
        <x:f>IF(COUNT(J31:P31)=7,AVERAGE(J31:P31),"")</x:f>
      </x:c>
      <x:c r="Y31" s="56" t="str">
        <x:f>IF(U31&lt;&gt;"Complete","Pending",IF(OR(I31="",COUNT(J31:P31)&lt;7,Q31="",R31="",S31="",T31=""),"Incomplete",IF(OR(I31="Fail",P31&lt;=2,X31&lt;=3),"Failure","Reviewed")))</x:f>
        <x:v>Pending</x:v>
      </x:c>
    </x:row>
    <x:row r="32" ht="112" customHeight="1">
      <x:c r="A32" s="54" t="n">
        <x:v>29</x:v>
      </x:c>
      <x:c r="B32" s="54" t="str">
        <x:v>G015-A</x:v>
      </x:c>
      <x:c r="C32" s="54" t="str">
        <x:v>G015</x:v>
      </x:c>
      <x:c r="D32" s="54" t="str">
        <x:v>MV-KIT-001</x:v>
      </x:c>
      <x:c r="E32" s="54" t="str">
        <x:v>es-MX</x:v>
      </x:c>
      <x:c r="F32" s="54" t="str">
        <x:v>product_listing</x:v>
      </x:c>
      <x:c r="G32" s="54" t="str">
        <x:v>A</x:v>
      </x:c>
      <x:c r="H32" s="22" t="str">
        <x:v>TÍTULO: Mirevane Botanics Kit de cuidado de piel para viaje, 3 pieces / 55 mL total
PUNTO 1: Tres productos mini sin fragancia añadida en una caja de cartón.
PUNTO 2: Contiene limpiador de 30 mL, sérum de 10 mL y crema hidratante de 15 mL.
PUNTO 3: Cubre todas tus necesidades de piel cuando viajas.
DESCRIPCIÓN: Usa primero limpiador, segundo serum y tercero crema. Empaque: caja de cartón con tres productos mini que suman 55 mL.</x:v>
      </x:c>
      <x:c r="I32" s="55"/>
      <x:c r="J32" s="55"/>
      <x:c r="K32" s="55"/>
      <x:c r="L32" s="55"/>
      <x:c r="M32" s="55"/>
      <x:c r="N32" s="55"/>
      <x:c r="O32" s="55"/>
      <x:c r="P32" s="55"/>
      <x:c r="Q32" s="55"/>
      <x:c r="R32" s="55"/>
      <x:c r="S32" s="58"/>
      <x:c r="T32" s="55"/>
      <x:c r="U32" s="55" t="str">
        <x:v>Pending</x:v>
      </x:c>
      <x:c r="V32" s="50"/>
      <x:c r="W32" s="50"/>
      <x:c r="X32" s="57" t="str">
        <x:f>IF(COUNT(J32:P32)=7,AVERAGE(J32:P32),"")</x:f>
      </x:c>
      <x:c r="Y32" s="56" t="str">
        <x:f>IF(U32&lt;&gt;"Complete","Pending",IF(OR(I32="",COUNT(J32:P32)&lt;7,Q32="",R32="",S32="",T32=""),"Incomplete",IF(OR(I32="Fail",P32&lt;=2,X32&lt;=3),"Failure","Reviewed")))</x:f>
        <x:v>Pending</x:v>
      </x:c>
    </x:row>
    <x:row r="33" ht="112" customHeight="1">
      <x:c r="A33" s="54" t="n">
        <x:v>30</x:v>
      </x:c>
      <x:c r="B33" s="54" t="str">
        <x:v>G015-B</x:v>
      </x:c>
      <x:c r="C33" s="54" t="str">
        <x:v>G015</x:v>
      </x:c>
      <x:c r="D33" s="54" t="str">
        <x:v>MV-KIT-001</x:v>
      </x:c>
      <x:c r="E33" s="54" t="str">
        <x:v>es-MX</x:v>
      </x:c>
      <x:c r="F33" s="54" t="str">
        <x:v>product_listing</x:v>
      </x:c>
      <x:c r="G33" s="54" t="str">
        <x:v>B</x:v>
      </x:c>
      <x:c r="H33" s="22" t="str">
        <x:v>TÍTULO: Mirevane Botanics Set básico de cuidado facial para viaje, 3 pieces / 55 mL total
PUNTO 1: Tres productos mini sin fragancia añadida en una caja de cartón.
PUNTO 2: Formulado con limpiador de 30 mL, sérum de 10 mL y crema hidratante de 15 mL.
PUNTO 3: Combina pasos básicos de limpieza, hidratación y humectación para llevar menos.
PUNTO 4: Usa el limpiador, el sérum y la crema hidratante en ese orden, siguiendo las indicaciones de cada producto.
PUNTO 5: Presentado en caja de cartón con tres productos mini que suman 55 mL.
DESCRIPCIÓN: Tres pasos sencillos en un set para viaje. Limpiador, sérum y crema hidratante sin fragancia añadida, reunidos en una caja compacta. Usa el limpiador, el sérum y la crema hidratante en ese orden, siguiendo las indicaciones de cada producto.</x:v>
      </x:c>
      <x:c r="I33" s="55"/>
      <x:c r="J33" s="55"/>
      <x:c r="K33" s="55"/>
      <x:c r="L33" s="55"/>
      <x:c r="M33" s="55"/>
      <x:c r="N33" s="55"/>
      <x:c r="O33" s="55"/>
      <x:c r="P33" s="55"/>
      <x:c r="Q33" s="55"/>
      <x:c r="R33" s="55"/>
      <x:c r="S33" s="58"/>
      <x:c r="T33" s="55"/>
      <x:c r="U33" s="55" t="str">
        <x:v>Pending</x:v>
      </x:c>
      <x:c r="V33" s="50"/>
      <x:c r="W33" s="50"/>
      <x:c r="X33" s="57" t="str">
        <x:f>IF(COUNT(J33:P33)=7,AVERAGE(J33:P33),"")</x:f>
      </x:c>
      <x:c r="Y33" s="56" t="str">
        <x:f>IF(U33&lt;&gt;"Complete","Pending",IF(OR(I33="",COUNT(J33:P33)&lt;7,Q33="",R33="",S33="",T33=""),"Incomplete",IF(OR(I33="Fail",P33&lt;=2,X33&lt;=3),"Failure","Reviewed")))</x:f>
        <x:v>Pending</x:v>
      </x:c>
    </x:row>
    <x:row r="34" ht="112" customHeight="1">
      <x:c r="A34" s="54" t="n">
        <x:v>31</x:v>
      </x:c>
      <x:c r="B34" s="54" t="str">
        <x:v>G016-A</x:v>
      </x:c>
      <x:c r="C34" s="54" t="str">
        <x:v>G016</x:v>
      </x:c>
      <x:c r="D34" s="54" t="str">
        <x:v>MV-KIT-001</x:v>
      </x:c>
      <x:c r="E34" s="54" t="str">
        <x:v>en-US</x:v>
      </x:c>
      <x:c r="F34" s="54" t="str">
        <x:v>product_listing</x:v>
      </x:c>
      <x:c r="G34" s="54" t="str">
        <x:v>A</x:v>
      </x:c>
      <x:c r="H34" s="22" t="str">
        <x:v>TITLE: Mirevane Botanics Travel Skincare Set, 3 pieces / 55 mL total
BULLET 1: Three fragrance-free mini products in one paper box.
BULLET 2: Made with a 30 mL cleanser, 10 mL serum and 15 mL moisturizer.
BULLET 3: Combines basic cleansing, hydration and moisturizing steps for simpler packing.
BULLET 4: Use the cleanser, serum and moisturizer in that order, following each product's directions.
BULLET 5: Presented in a paper box with three mini products totaling 55 mL.
DESCRIPTION: Three simple steps in a travel-size set. A fragrance-free cleanser, serum and moisturizer organized in one compact paper box. Use the cleanser, serum and moisturizer in that order, following each product's directions.</x:v>
      </x:c>
      <x:c r="I34" s="55"/>
      <x:c r="J34" s="55"/>
      <x:c r="K34" s="55"/>
      <x:c r="L34" s="55"/>
      <x:c r="M34" s="55"/>
      <x:c r="N34" s="55"/>
      <x:c r="O34" s="55"/>
      <x:c r="P34" s="55"/>
      <x:c r="Q34" s="55"/>
      <x:c r="R34" s="55"/>
      <x:c r="S34" s="58"/>
      <x:c r="T34" s="55"/>
      <x:c r="U34" s="55" t="str">
        <x:v>Pending</x:v>
      </x:c>
      <x:c r="V34" s="50"/>
      <x:c r="W34" s="50"/>
      <x:c r="X34" s="57" t="str">
        <x:f>IF(COUNT(J34:P34)=7,AVERAGE(J34:P34),"")</x:f>
      </x:c>
      <x:c r="Y34" s="56" t="str">
        <x:f>IF(U34&lt;&gt;"Complete","Pending",IF(OR(I34="",COUNT(J34:P34)&lt;7,Q34="",R34="",S34="",T34=""),"Incomplete",IF(OR(I34="Fail",P34&lt;=2,X34&lt;=3),"Failure","Reviewed")))</x:f>
        <x:v>Pending</x:v>
      </x:c>
    </x:row>
    <x:row r="35" ht="112" customHeight="1">
      <x:c r="A35" s="54" t="n">
        <x:v>32</x:v>
      </x:c>
      <x:c r="B35" s="54" t="str">
        <x:v>G016-B</x:v>
      </x:c>
      <x:c r="C35" s="54" t="str">
        <x:v>G016</x:v>
      </x:c>
      <x:c r="D35" s="54" t="str">
        <x:v>MV-KIT-001</x:v>
      </x:c>
      <x:c r="E35" s="54" t="str">
        <x:v>en-US</x:v>
      </x:c>
      <x:c r="F35" s="54" t="str">
        <x:v>product_listing</x:v>
      </x:c>
      <x:c r="G35" s="54" t="str">
        <x:v>B</x:v>
      </x:c>
      <x:c r="H35" s="22" t="str">
        <x:v>TITLE: Mirevane Botanics Travel Skin Care Kit, 3 pieces / 55 mL total
BULLET 1: three fragrance-free mini products in one paper box.
BULLET 2: Contains a 30 mL cleanser, 10 mL serum and 15 mL moisturizer.
BULLET 3: Covers all of your skincare needs while traveling.
DESCRIPTION: Use cleanser first, serum second and cream third. Package: paper box with three mini products totaling 55 mL.</x:v>
      </x:c>
      <x:c r="I35" s="55"/>
      <x:c r="J35" s="55"/>
      <x:c r="K35" s="55"/>
      <x:c r="L35" s="55"/>
      <x:c r="M35" s="55"/>
      <x:c r="N35" s="55"/>
      <x:c r="O35" s="55"/>
      <x:c r="P35" s="55"/>
      <x:c r="Q35" s="55"/>
      <x:c r="R35" s="55"/>
      <x:c r="S35" s="58"/>
      <x:c r="T35" s="55"/>
      <x:c r="U35" s="55" t="str">
        <x:v>Pending</x:v>
      </x:c>
      <x:c r="V35" s="50"/>
      <x:c r="W35" s="50"/>
      <x:c r="X35" s="57" t="str">
        <x:f>IF(COUNT(J35:P35)=7,AVERAGE(J35:P35),"")</x:f>
      </x:c>
      <x:c r="Y35" s="56" t="str">
        <x:f>IF(U35&lt;&gt;"Complete","Pending",IF(OR(I35="",COUNT(J35:P35)&lt;7,Q35="",R35="",S35="",T35=""),"Incomplete",IF(OR(I35="Fail",P35&lt;=2,X35&lt;=3),"Failure","Reviewed")))</x:f>
        <x:v>Pending</x:v>
      </x:c>
    </x:row>
    <x:row r="36" ht="112" customHeight="1">
      <x:c r="A36" s="54" t="n">
        <x:v>33</x:v>
      </x:c>
      <x:c r="B36" s="54" t="str">
        <x:v>G017-A</x:v>
      </x:c>
      <x:c r="C36" s="54" t="str">
        <x:v>G017</x:v>
      </x:c>
      <x:c r="D36" s="54" t="str">
        <x:v>MV-CREAM-001</x:v>
      </x:c>
      <x:c r="E36" s="54" t="str">
        <x:v>en-US</x:v>
      </x:c>
      <x:c r="F36" s="54" t="str">
        <x:v>product_listing</x:v>
      </x:c>
      <x:c r="G36" s="54" t="str">
        <x:v>A</x:v>
      </x:c>
      <x:c r="H36" s="22" t="str">
        <x:v>TITLE: Mirevane Botanics Fragrance-Free Face Cream, 50 mL
BULLET 1: a cream texture made without added fragrance.
BULLET 2: Contains glycerin, squalane, panthenol and beta-glucan.
BULLET 3: Moisturizes dry skin.
DESCRIPTION: Put a suitable amount on clean face and neck and use sunscreen in daytime. Package: 50 mL PP jar with an inner lid.</x:v>
      </x:c>
      <x:c r="I36" s="55"/>
      <x:c r="J36" s="55"/>
      <x:c r="K36" s="55"/>
      <x:c r="L36" s="55"/>
      <x:c r="M36" s="55"/>
      <x:c r="N36" s="55"/>
      <x:c r="O36" s="55"/>
      <x:c r="P36" s="55"/>
      <x:c r="Q36" s="55"/>
      <x:c r="R36" s="55"/>
      <x:c r="S36" s="58"/>
      <x:c r="T36" s="55"/>
      <x:c r="U36" s="55" t="str">
        <x:v>Pending</x:v>
      </x:c>
      <x:c r="V36" s="50"/>
      <x:c r="W36" s="50"/>
      <x:c r="X36" s="57" t="str">
        <x:f>IF(COUNT(J36:P36)=7,AVERAGE(J36:P36),"")</x:f>
      </x:c>
      <x:c r="Y36" s="56" t="str">
        <x:f>IF(U36&lt;&gt;"Complete","Pending",IF(OR(I36="",COUNT(J36:P36)&lt;7,Q36="",R36="",S36="",T36=""),"Incomplete",IF(OR(I36="Fail",P36&lt;=2,X36&lt;=3),"Failure","Reviewed")))</x:f>
        <x:v>Pending</x:v>
      </x:c>
    </x:row>
    <x:row r="37" ht="112" customHeight="1">
      <x:c r="A37" s="54" t="n">
        <x:v>34</x:v>
      </x:c>
      <x:c r="B37" s="54" t="str">
        <x:v>G017-B</x:v>
      </x:c>
      <x:c r="C37" s="54" t="str">
        <x:v>G017</x:v>
      </x:c>
      <x:c r="D37" s="54" t="str">
        <x:v>MV-CREAM-001</x:v>
      </x:c>
      <x:c r="E37" s="54" t="str">
        <x:v>en-US</x:v>
      </x:c>
      <x:c r="F37" s="54" t="str">
        <x:v>product_listing</x:v>
      </x:c>
      <x:c r="G37" s="54" t="str">
        <x:v>B</x:v>
      </x:c>
      <x:c r="H37" s="22" t="str">
        <x:v>TITLE: Mirevane Botanics Fragrance-Free Facial Moisturizer, 50 mL
BULLET 1: A cream texture made without added fragrance.
BULLET 2: Made with glycerin, squalane, panthenol and beta-glucan.
BULLET 3: Helps skin feel soft and moisturized.
BULLET 4: Apply to a clean face and neck; follow with sunscreen during the day.
BULLET 5: Presented in a 50 mL PP jar with an inner lid.
DESCRIPTION: A fragrance-free moisturizing step. Made with squalane, panthenol and beta-glucan to help skin feel soft and moisturized. Apply to a clean face and neck; follow with sunscreen during the day.</x:v>
      </x:c>
      <x:c r="I37" s="55"/>
      <x:c r="J37" s="55"/>
      <x:c r="K37" s="55"/>
      <x:c r="L37" s="55"/>
      <x:c r="M37" s="55"/>
      <x:c r="N37" s="55"/>
      <x:c r="O37" s="55"/>
      <x:c r="P37" s="55"/>
      <x:c r="Q37" s="55"/>
      <x:c r="R37" s="55"/>
      <x:c r="S37" s="58"/>
      <x:c r="T37" s="55"/>
      <x:c r="U37" s="55" t="str">
        <x:v>Pending</x:v>
      </x:c>
      <x:c r="V37" s="50"/>
      <x:c r="W37" s="50"/>
      <x:c r="X37" s="57" t="str">
        <x:f>IF(COUNT(J37:P37)=7,AVERAGE(J37:P37),"")</x:f>
      </x:c>
      <x:c r="Y37" s="56" t="str">
        <x:f>IF(U37&lt;&gt;"Complete","Pending",IF(OR(I37="",COUNT(J37:P37)&lt;7,Q37="",R37="",S37="",T37=""),"Incomplete",IF(OR(I37="Fail",P37&lt;=2,X37&lt;=3),"Failure","Reviewed")))</x:f>
        <x:v>Pending</x:v>
      </x:c>
    </x:row>
    <x:row r="38" ht="112" customHeight="1">
      <x:c r="A38" s="54" t="n">
        <x:v>35</x:v>
      </x:c>
      <x:c r="B38" s="54" t="str">
        <x:v>G018-A</x:v>
      </x:c>
      <x:c r="C38" s="54" t="str">
        <x:v>G018</x:v>
      </x:c>
      <x:c r="D38" s="54" t="str">
        <x:v>MV-SERUM-001</x:v>
      </x:c>
      <x:c r="E38" s="54" t="str">
        <x:v>en-US</x:v>
      </x:c>
      <x:c r="F38" s="54" t="str">
        <x:v>product_listing</x:v>
      </x:c>
      <x:c r="G38" s="54" t="str">
        <x:v>A</x:v>
      </x:c>
      <x:c r="H38" s="22" t="str">
        <x:v>TITLE: Mirevane Botanics Moisturizing Serum, 30 mL
BULLET 1: a water-based gel made without added fragrance.
BULLET 2: Contains glycerin, sodium hyaluronate and panthenol.
BULLET 3: Hydrates and softens the skin.
DESCRIPTION: After washing, pump 1–2 times on face and neck, then use cream. Package: opaque 30 mL PP pump bottle.</x:v>
      </x:c>
      <x:c r="I38" s="55"/>
      <x:c r="J38" s="55"/>
      <x:c r="K38" s="55"/>
      <x:c r="L38" s="55"/>
      <x:c r="M38" s="55"/>
      <x:c r="N38" s="55"/>
      <x:c r="O38" s="55"/>
      <x:c r="P38" s="55"/>
      <x:c r="Q38" s="55"/>
      <x:c r="R38" s="55"/>
      <x:c r="S38" s="58"/>
      <x:c r="T38" s="55"/>
      <x:c r="U38" s="55" t="str">
        <x:v>Pending</x:v>
      </x:c>
      <x:c r="V38" s="50"/>
      <x:c r="W38" s="50"/>
      <x:c r="X38" s="57" t="str">
        <x:f>IF(COUNT(J38:P38)=7,AVERAGE(J38:P38),"")</x:f>
      </x:c>
      <x:c r="Y38" s="56" t="str">
        <x:f>IF(U38&lt;&gt;"Complete","Pending",IF(OR(I38="",COUNT(J38:P38)&lt;7,Q38="",R38="",S38="",T38=""),"Incomplete",IF(OR(I38="Fail",P38&lt;=2,X38&lt;=3),"Failure","Reviewed")))</x:f>
        <x:v>Pending</x:v>
      </x:c>
    </x:row>
    <x:row r="39" ht="112" customHeight="1">
      <x:c r="A39" s="54" t="n">
        <x:v>36</x:v>
      </x:c>
      <x:c r="B39" s="54" t="str">
        <x:v>G018-B</x:v>
      </x:c>
      <x:c r="C39" s="54" t="str">
        <x:v>G018</x:v>
      </x:c>
      <x:c r="D39" s="54" t="str">
        <x:v>MV-SERUM-001</x:v>
      </x:c>
      <x:c r="E39" s="54" t="str">
        <x:v>en-US</x:v>
      </x:c>
      <x:c r="F39" s="54" t="str">
        <x:v>product_listing</x:v>
      </x:c>
      <x:c r="G39" s="54" t="str">
        <x:v>B</x:v>
      </x:c>
      <x:c r="H39" s="22" t="str">
        <x:v>TITLE: Mirevane Botanics Hydrating Serum, 30 mL
BULLET 1: A water-based gel made without added fragrance.
BULLET 2: Made with glycerin, sodium hyaluronate and panthenol.
BULLET 3: Helps skin feel hydrated and soft.
BULLET 4: Apply 1–2 pumps to the face and neck after cleansing, follow with moisturizer, and avoid the eye area.
BULLET 5: Presented in a opaque 30 mL PP pump bottle.
DESCRIPTION: Light hydration before moisturizer. A water-based gel with glycerin, sodium hyaluronate and panthenol that helps skin feel hydrated. Apply 1–2 pumps to the face and neck after cleansing, follow with moisturizer, and avoid the eye area.</x:v>
      </x:c>
      <x:c r="I39" s="55"/>
      <x:c r="J39" s="55"/>
      <x:c r="K39" s="55"/>
      <x:c r="L39" s="55"/>
      <x:c r="M39" s="55"/>
      <x:c r="N39" s="55"/>
      <x:c r="O39" s="55"/>
      <x:c r="P39" s="55"/>
      <x:c r="Q39" s="55"/>
      <x:c r="R39" s="55"/>
      <x:c r="S39" s="58"/>
      <x:c r="T39" s="55"/>
      <x:c r="U39" s="55" t="str">
        <x:v>Pending</x:v>
      </x:c>
      <x:c r="V39" s="50"/>
      <x:c r="W39" s="50"/>
      <x:c r="X39" s="57" t="str">
        <x:f>IF(COUNT(J39:P39)=7,AVERAGE(J39:P39),"")</x:f>
      </x:c>
      <x:c r="Y39" s="56" t="str">
        <x:f>IF(U39&lt;&gt;"Complete","Pending",IF(OR(I39="",COUNT(J39:P39)&lt;7,Q39="",R39="",S39="",T39=""),"Incomplete",IF(OR(I39="Fail",P39&lt;=2,X39&lt;=3),"Failure","Reviewed")))</x:f>
        <x:v>Pending</x:v>
      </x:c>
    </x:row>
    <x:row r="40" ht="112" customHeight="1">
      <x:c r="A40" s="54" t="n">
        <x:v>37</x:v>
      </x:c>
      <x:c r="B40" s="54" t="str">
        <x:v>G019-A</x:v>
      </x:c>
      <x:c r="C40" s="54" t="str">
        <x:v>G019</x:v>
      </x:c>
      <x:c r="D40" s="54" t="str">
        <x:v>MV-HAND-001</x:v>
      </x:c>
      <x:c r="E40" s="54" t="str">
        <x:v>en-US</x:v>
      </x:c>
      <x:c r="F40" s="54" t="str">
        <x:v>social_ad_copy</x:v>
      </x:c>
      <x:c r="G40" s="54" t="str">
        <x:v>A</x:v>
      </x:c>
      <x:c r="H40" s="22" t="str">
        <x:v>HOOK: A simple hand-care step after washing.
BODY: Made with glycerin, shea butter, panthenol and allantoin to help hands feel soft and moisturized. Massage into hands and around the nails as needed; for external use only.
CTA: See product details.</x:v>
      </x:c>
      <x:c r="I40" s="55"/>
      <x:c r="J40" s="55"/>
      <x:c r="K40" s="55"/>
      <x:c r="L40" s="55"/>
      <x:c r="M40" s="55"/>
      <x:c r="N40" s="55"/>
      <x:c r="O40" s="55"/>
      <x:c r="P40" s="55"/>
      <x:c r="Q40" s="55"/>
      <x:c r="R40" s="55"/>
      <x:c r="S40" s="58"/>
      <x:c r="T40" s="55"/>
      <x:c r="U40" s="55" t="str">
        <x:v>Pending</x:v>
      </x:c>
      <x:c r="V40" s="50"/>
      <x:c r="W40" s="50"/>
      <x:c r="X40" s="57" t="str">
        <x:f>IF(COUNT(J40:P40)=7,AVERAGE(J40:P40),"")</x:f>
      </x:c>
      <x:c r="Y40" s="56" t="str">
        <x:f>IF(U40&lt;&gt;"Complete","Pending",IF(OR(I40="",COUNT(J40:P40)&lt;7,Q40="",R40="",S40="",T40=""),"Incomplete",IF(OR(I40="Fail",P40&lt;=2,X40&lt;=3),"Failure","Reviewed")))</x:f>
        <x:v>Pending</x:v>
      </x:c>
    </x:row>
    <x:row r="41" ht="112" customHeight="1">
      <x:c r="A41" s="54" t="n">
        <x:v>38</x:v>
      </x:c>
      <x:c r="B41" s="54" t="str">
        <x:v>G019-B</x:v>
      </x:c>
      <x:c r="C41" s="54" t="str">
        <x:v>G019</x:v>
      </x:c>
      <x:c r="D41" s="54" t="str">
        <x:v>MV-HAND-001</x:v>
      </x:c>
      <x:c r="E41" s="54" t="str">
        <x:v>en-US</x:v>
      </x:c>
      <x:c r="F41" s="54" t="str">
        <x:v>social_ad_copy</x:v>
      </x:c>
      <x:c r="G41" s="54" t="str">
        <x:v>B</x:v>
      </x:c>
      <x:c r="H41" s="22" t="str">
        <x:v>HOOK: Repairs dry hands after washing.
BODY: made without added fragrance in an aluminum tube. Contains glycerin, shea butter, panthenol and allantoin. Apply to hands and nail edges repeatedly when needed.
CTA: Buy now.</x:v>
      </x:c>
      <x:c r="I41" s="55"/>
      <x:c r="J41" s="55"/>
      <x:c r="K41" s="55"/>
      <x:c r="L41" s="55"/>
      <x:c r="M41" s="55"/>
      <x:c r="N41" s="55"/>
      <x:c r="O41" s="55"/>
      <x:c r="P41" s="55"/>
      <x:c r="Q41" s="55"/>
      <x:c r="R41" s="55"/>
      <x:c r="S41" s="58"/>
      <x:c r="T41" s="55"/>
      <x:c r="U41" s="55" t="str">
        <x:v>Pending</x:v>
      </x:c>
      <x:c r="V41" s="50"/>
      <x:c r="W41" s="50"/>
      <x:c r="X41" s="57" t="str">
        <x:f>IF(COUNT(J41:P41)=7,AVERAGE(J41:P41),"")</x:f>
      </x:c>
      <x:c r="Y41" s="56" t="str">
        <x:f>IF(U41&lt;&gt;"Complete","Pending",IF(OR(I41="",COUNT(J41:P41)&lt;7,Q41="",R41="",S41="",T41=""),"Incomplete",IF(OR(I41="Fail",P41&lt;=2,X41&lt;=3),"Failure","Reviewed")))</x:f>
        <x:v>Pending</x:v>
      </x:c>
    </x:row>
    <x:row r="42" ht="112" customHeight="1">
      <x:c r="A42" s="54" t="n">
        <x:v>39</x:v>
      </x:c>
      <x:c r="B42" s="54" t="str">
        <x:v>G020-A</x:v>
      </x:c>
      <x:c r="C42" s="54" t="str">
        <x:v>G020</x:v>
      </x:c>
      <x:c r="D42" s="54" t="str">
        <x:v>MV-CLEAN-001</x:v>
      </x:c>
      <x:c r="E42" s="54" t="str">
        <x:v>es-MX</x:v>
      </x:c>
      <x:c r="F42" s="54" t="str">
        <x:v>product_listing</x:v>
      </x:c>
      <x:c r="G42" s="54" t="str">
        <x:v>A</x:v>
      </x:c>
      <x:c r="H42" s="22" t="str">
        <x:v>TÍTULO: Mirevane Botanics Limpiador facial de aminoácidos, 120 mL
PUNTO 1: Sin fragancia añadida ni tensioactivos con sulfatos.
PUNTO 2: Contiene glicerina, glicinato de cocoilo de sodio y pantenol.
PUNTO 3: Elimina la suciedad y el exceso de grasa de la piel.
DESCRIPCIÓN: Usa 1–2 bombas en la cara mojada, masajea 30 segundos y lava con agua. Empaque: envase PET con bomba de 120 mL.</x:v>
      </x:c>
      <x:c r="I42" s="55"/>
      <x:c r="J42" s="55"/>
      <x:c r="K42" s="55"/>
      <x:c r="L42" s="55"/>
      <x:c r="M42" s="55"/>
      <x:c r="N42" s="55"/>
      <x:c r="O42" s="55"/>
      <x:c r="P42" s="55"/>
      <x:c r="Q42" s="55"/>
      <x:c r="R42" s="55"/>
      <x:c r="S42" s="58"/>
      <x:c r="T42" s="55"/>
      <x:c r="U42" s="55" t="str">
        <x:v>Pending</x:v>
      </x:c>
      <x:c r="V42" s="50"/>
      <x:c r="W42" s="50"/>
      <x:c r="X42" s="57" t="str">
        <x:f>IF(COUNT(J42:P42)=7,AVERAGE(J42:P42),"")</x:f>
      </x:c>
      <x:c r="Y42" s="56" t="str">
        <x:f>IF(U42&lt;&gt;"Complete","Pending",IF(OR(I42="",COUNT(J42:P42)&lt;7,Q42="",R42="",S42="",T42=""),"Incomplete",IF(OR(I42="Fail",P42&lt;=2,X42&lt;=3),"Failure","Reviewed")))</x:f>
        <x:v>Pending</x:v>
      </x:c>
    </x:row>
    <x:row r="43" ht="112" customHeight="1">
      <x:c r="A43" s="54" t="n">
        <x:v>40</x:v>
      </x:c>
      <x:c r="B43" s="54" t="str">
        <x:v>G020-B</x:v>
      </x:c>
      <x:c r="C43" s="54" t="str">
        <x:v>G020</x:v>
      </x:c>
      <x:c r="D43" s="54" t="str">
        <x:v>MV-CLEAN-001</x:v>
      </x:c>
      <x:c r="E43" s="54" t="str">
        <x:v>es-MX</x:v>
      </x:c>
      <x:c r="F43" s="54" t="str">
        <x:v>product_listing</x:v>
      </x:c>
      <x:c r="G43" s="54" t="str">
        <x:v>B</x:v>
      </x:c>
      <x:c r="H43" s="22" t="str">
        <x:v>TÍTULO: Mirevane Botanics Limpiador facial, 120 mL
PUNTO 1: Sin fragancia añadida ni tensioactivos con sulfatos.
PUNTO 2: Formulado con glicerina, glicinato de cocoilo de sodio y pantenol.
PUNTO 3: Ayuda a retirar la suciedad superficial y el exceso de grasa, dejando una sensación cómoda.
PUNTO 4: Masajea de 1 a 2 dosis sobre el rostro húmedo durante unos 30 segundos, enjuaga y evita el contorno de ojos.
PUNTO 5: Presentado en envase PET con bomba de 120 mL.
DESCRIPCIÓN: Un inicio claro y sin fragancia añadida para tu rutina. Sin fragancia añadida ni tensioactivos con sulfatos; ayuda a retirar la suciedad superficial y el exceso de grasa. Masajea de 1 a 2 dosis sobre el rostro húmedo durante unos 30 segundos, enjuaga y evita el contorno de ojos.</x:v>
      </x:c>
      <x:c r="I43" s="55"/>
      <x:c r="J43" s="55"/>
      <x:c r="K43" s="55"/>
      <x:c r="L43" s="55"/>
      <x:c r="M43" s="55"/>
      <x:c r="N43" s="55"/>
      <x:c r="O43" s="55"/>
      <x:c r="P43" s="55"/>
      <x:c r="Q43" s="55"/>
      <x:c r="R43" s="55"/>
      <x:c r="S43" s="58"/>
      <x:c r="T43" s="55"/>
      <x:c r="U43" s="55" t="str">
        <x:v>Pending</x:v>
      </x:c>
      <x:c r="V43" s="50"/>
      <x:c r="W43" s="50"/>
      <x:c r="X43" s="57" t="str">
        <x:f>IF(COUNT(J43:P43)=7,AVERAGE(J43:P43),"")</x:f>
      </x:c>
      <x:c r="Y43" s="56" t="str">
        <x:f>IF(U43&lt;&gt;"Complete","Pending",IF(OR(I43="",COUNT(J43:P43)&lt;7,Q43="",R43="",S43="",T43=""),"Incomplete",IF(OR(I43="Fail",P43&lt;=2,X43&lt;=3),"Failure","Reviewed")))</x:f>
        <x:v>Pending</x:v>
      </x:c>
    </x:row>
    <x:row r="44" ht="112" customHeight="1">
      <x:c r="A44" s="54" t="n">
        <x:v>41</x:v>
      </x:c>
      <x:c r="B44" s="54" t="str">
        <x:v>G021-A</x:v>
      </x:c>
      <x:c r="C44" s="54" t="str">
        <x:v>G021</x:v>
      </x:c>
      <x:c r="D44" s="54" t="str">
        <x:v>MV-CLEAN-001</x:v>
      </x:c>
      <x:c r="E44" s="54" t="str">
        <x:v>en-US</x:v>
      </x:c>
      <x:c r="F44" s="54" t="str">
        <x:v>product_listing</x:v>
      </x:c>
      <x:c r="G44" s="54" t="str">
        <x:v>A</x:v>
      </x:c>
      <x:c r="H44" s="22" t="str">
        <x:v>TITLE: Mirevane Botanics Amino Acid Facial Cleanser, 120 mL
BULLET 1: made without added fragrance or sulfate surfactants.
BULLET 2: Contains glycerin, sodium cocoyl glycinate and panthenol.
BULLET 3: Removes dirt and excess oil from skin.
DESCRIPTION: Use 1–2 pumps on the wet face, massage for 30 seconds and wash with water. Package: 120 mL PET pump bottle.</x:v>
      </x:c>
      <x:c r="I44" s="55"/>
      <x:c r="J44" s="55"/>
      <x:c r="K44" s="55"/>
      <x:c r="L44" s="55"/>
      <x:c r="M44" s="55"/>
      <x:c r="N44" s="55"/>
      <x:c r="O44" s="55"/>
      <x:c r="P44" s="55"/>
      <x:c r="Q44" s="55"/>
      <x:c r="R44" s="55"/>
      <x:c r="S44" s="58"/>
      <x:c r="T44" s="55"/>
      <x:c r="U44" s="55" t="str">
        <x:v>Pending</x:v>
      </x:c>
      <x:c r="V44" s="50"/>
      <x:c r="W44" s="50"/>
      <x:c r="X44" s="57" t="str">
        <x:f>IF(COUNT(J44:P44)=7,AVERAGE(J44:P44),"")</x:f>
      </x:c>
      <x:c r="Y44" s="56" t="str">
        <x:f>IF(U44&lt;&gt;"Complete","Pending",IF(OR(I44="",COUNT(J44:P44)&lt;7,Q44="",R44="",S44="",T44=""),"Incomplete",IF(OR(I44="Fail",P44&lt;=2,X44&lt;=3),"Failure","Reviewed")))</x:f>
        <x:v>Pending</x:v>
      </x:c>
    </x:row>
    <x:row r="45" ht="112" customHeight="1">
      <x:c r="A45" s="54" t="n">
        <x:v>42</x:v>
      </x:c>
      <x:c r="B45" s="54" t="str">
        <x:v>G021-B</x:v>
      </x:c>
      <x:c r="C45" s="54" t="str">
        <x:v>G021</x:v>
      </x:c>
      <x:c r="D45" s="54" t="str">
        <x:v>MV-CLEAN-001</x:v>
      </x:c>
      <x:c r="E45" s="54" t="str">
        <x:v>en-US</x:v>
      </x:c>
      <x:c r="F45" s="54" t="str">
        <x:v>product_listing</x:v>
      </x:c>
      <x:c r="G45" s="54" t="str">
        <x:v>B</x:v>
      </x:c>
      <x:c r="H45" s="22" t="str">
        <x:v>TITLE: Mirevane Botanics Facial Cleanser, 120 mL
BULLET 1: Made without added fragrance or sulfate surfactants.
BULLET 2: Made with glycerin, sodium cocoyl glycinate and panthenol.
BULLET 3: Helps remove surface dirt and excess oil while leaving skin feeling comfortable.
BULLET 4: Massage 1–2 pumps over a wet face for about 30 seconds, rinse, and avoid the eye area.
BULLET 5: Presented in a 120 mL PET pump bottle.
DESCRIPTION: A clear, fragrance-free start to your routine. Made without added fragrance or sulfate surfactants, this cleanser helps remove surface dirt and excess oil. Massage 1–2 pumps over a wet face for about 30 seconds, rinse, and avoid the eye area.</x:v>
      </x:c>
      <x:c r="I45" s="55"/>
      <x:c r="J45" s="55"/>
      <x:c r="K45" s="55"/>
      <x:c r="L45" s="55"/>
      <x:c r="M45" s="55"/>
      <x:c r="N45" s="55"/>
      <x:c r="O45" s="55"/>
      <x:c r="P45" s="55"/>
      <x:c r="Q45" s="55"/>
      <x:c r="R45" s="55"/>
      <x:c r="S45" s="58"/>
      <x:c r="T45" s="55"/>
      <x:c r="U45" s="55" t="str">
        <x:v>Pending</x:v>
      </x:c>
      <x:c r="V45" s="50"/>
      <x:c r="W45" s="50"/>
      <x:c r="X45" s="57" t="str">
        <x:f>IF(COUNT(J45:P45)=7,AVERAGE(J45:P45),"")</x:f>
      </x:c>
      <x:c r="Y45" s="56" t="str">
        <x:f>IF(U45&lt;&gt;"Complete","Pending",IF(OR(I45="",COUNT(J45:P45)&lt;7,Q45="",R45="",S45="",T45=""),"Incomplete",IF(OR(I45="Fail",P45&lt;=2,X45&lt;=3),"Failure","Reviewed")))</x:f>
        <x:v>Pending</x:v>
      </x:c>
    </x:row>
    <x:row r="46" ht="112" customHeight="1">
      <x:c r="A46" s="54" t="n">
        <x:v>43</x:v>
      </x:c>
      <x:c r="B46" s="54" t="str">
        <x:v>G022-A</x:v>
      </x:c>
      <x:c r="C46" s="54" t="str">
        <x:v>G022</x:v>
      </x:c>
      <x:c r="D46" s="54" t="str">
        <x:v>MV-SERUM-001</x:v>
      </x:c>
      <x:c r="E46" s="54" t="str">
        <x:v>es-MX</x:v>
      </x:c>
      <x:c r="F46" s="54" t="str">
        <x:v>product_listing</x:v>
      </x:c>
      <x:c r="G46" s="54" t="str">
        <x:v>A</x:v>
      </x:c>
      <x:c r="H46" s="22" t="str">
        <x:v>TÍTULO: Mirevane Botanics Serum humectante, 30 mL
PUNTO 1: Gel de base acuosa sin fragancia añadida.
PUNTO 2: Contiene glicerina, hialuronato de sodio y pantenol.
PUNTO 3: Hidrata y suaviza la piel.
DESCRIPCIÓN: Después de lavar, bombea 1–2 veces en cara y cuello y luego usa crema. Empaque: envase opaco de PP con bomba de 30 mL.</x:v>
      </x:c>
      <x:c r="I46" s="55"/>
      <x:c r="J46" s="55"/>
      <x:c r="K46" s="55"/>
      <x:c r="L46" s="55"/>
      <x:c r="M46" s="55"/>
      <x:c r="N46" s="55"/>
      <x:c r="O46" s="55"/>
      <x:c r="P46" s="55"/>
      <x:c r="Q46" s="55"/>
      <x:c r="R46" s="55"/>
      <x:c r="S46" s="58"/>
      <x:c r="T46" s="55"/>
      <x:c r="U46" s="55" t="str">
        <x:v>Pending</x:v>
      </x:c>
      <x:c r="V46" s="50"/>
      <x:c r="W46" s="50"/>
      <x:c r="X46" s="57" t="str">
        <x:f>IF(COUNT(J46:P46)=7,AVERAGE(J46:P46),"")</x:f>
      </x:c>
      <x:c r="Y46" s="56" t="str">
        <x:f>IF(U46&lt;&gt;"Complete","Pending",IF(OR(I46="",COUNT(J46:P46)&lt;7,Q46="",R46="",S46="",T46=""),"Incomplete",IF(OR(I46="Fail",P46&lt;=2,X46&lt;=3),"Failure","Reviewed")))</x:f>
        <x:v>Pending</x:v>
      </x:c>
    </x:row>
    <x:row r="47" ht="112" customHeight="1">
      <x:c r="A47" s="54" t="n">
        <x:v>44</x:v>
      </x:c>
      <x:c r="B47" s="54" t="str">
        <x:v>G022-B</x:v>
      </x:c>
      <x:c r="C47" s="54" t="str">
        <x:v>G022</x:v>
      </x:c>
      <x:c r="D47" s="54" t="str">
        <x:v>MV-SERUM-001</x:v>
      </x:c>
      <x:c r="E47" s="54" t="str">
        <x:v>es-MX</x:v>
      </x:c>
      <x:c r="F47" s="54" t="str">
        <x:v>product_listing</x:v>
      </x:c>
      <x:c r="G47" s="54" t="str">
        <x:v>B</x:v>
      </x:c>
      <x:c r="H47" s="22" t="str">
        <x:v>TÍTULO: Mirevane Botanics Sérum hidratante, 30 mL
PUNTO 1: Gel de base acuosa sin fragancia añadida.
PUNTO 2: Formulado con glicerina, hialuronato de sodio y pantenol.
PUNTO 3: Ayuda a que la piel se sienta hidratada y suave.
PUNTO 4: Después de limpiar el rostro, aplica de 1 a 2 dosis en cara y cuello, continúa con tu crema hidratante y evita el contorno de ojos.
PUNTO 5: Presentado en envase opaco de PP con bomba de 30 mL.
DESCRIPCIÓN: Hidratación ligera antes de tu crema. Un gel de base acuosa con glicerina, hialuronato de sodio y pantenol que ayuda a que la piel se sienta hidratada. Después de limpiar el rostro, aplica de 1 a 2 dosis en cara y cuello, continúa con tu crema hidratante y evita el contorno de ojos.</x:v>
      </x:c>
      <x:c r="I47" s="55"/>
      <x:c r="J47" s="55"/>
      <x:c r="K47" s="55"/>
      <x:c r="L47" s="55"/>
      <x:c r="M47" s="55"/>
      <x:c r="N47" s="55"/>
      <x:c r="O47" s="55"/>
      <x:c r="P47" s="55"/>
      <x:c r="Q47" s="55"/>
      <x:c r="R47" s="55"/>
      <x:c r="S47" s="58"/>
      <x:c r="T47" s="55"/>
      <x:c r="U47" s="55" t="str">
        <x:v>Pending</x:v>
      </x:c>
      <x:c r="V47" s="50"/>
      <x:c r="W47" s="50"/>
      <x:c r="X47" s="57" t="str">
        <x:f>IF(COUNT(J47:P47)=7,AVERAGE(J47:P47),"")</x:f>
      </x:c>
      <x:c r="Y47" s="56" t="str">
        <x:f>IF(U47&lt;&gt;"Complete","Pending",IF(OR(I47="",COUNT(J47:P47)&lt;7,Q47="",R47="",S47="",T47=""),"Incomplete",IF(OR(I47="Fail",P47&lt;=2,X47&lt;=3),"Failure","Reviewed")))</x:f>
        <x:v>Pending</x:v>
      </x:c>
    </x:row>
    <x:row r="48" ht="112" customHeight="1">
      <x:c r="A48" s="54" t="n">
        <x:v>45</x:v>
      </x:c>
      <x:c r="B48" s="54" t="str">
        <x:v>G023-A</x:v>
      </x:c>
      <x:c r="C48" s="54" t="str">
        <x:v>G023</x:v>
      </x:c>
      <x:c r="D48" s="54" t="str">
        <x:v>MV-SERUM-001</x:v>
      </x:c>
      <x:c r="E48" s="54" t="str">
        <x:v>en-US</x:v>
      </x:c>
      <x:c r="F48" s="54" t="str">
        <x:v>social_ad_copy</x:v>
      </x:c>
      <x:c r="G48" s="54" t="str">
        <x:v>A</x:v>
      </x:c>
      <x:c r="H48" s="22" t="str">
        <x:v>HOOK: Hydrates and softens the skin.
BODY: a water-based gel made without added fragrance. Contains glycerin, sodium hyaluronate and panthenol. After washing, pump 1–2 times on face and neck, then use cream.
CTA: Buy now.</x:v>
      </x:c>
      <x:c r="I48" s="55"/>
      <x:c r="J48" s="55"/>
      <x:c r="K48" s="55"/>
      <x:c r="L48" s="55"/>
      <x:c r="M48" s="55"/>
      <x:c r="N48" s="55"/>
      <x:c r="O48" s="55"/>
      <x:c r="P48" s="55"/>
      <x:c r="Q48" s="55"/>
      <x:c r="R48" s="55"/>
      <x:c r="S48" s="58"/>
      <x:c r="T48" s="55"/>
      <x:c r="U48" s="55" t="str">
        <x:v>Pending</x:v>
      </x:c>
      <x:c r="V48" s="50"/>
      <x:c r="W48" s="50"/>
      <x:c r="X48" s="57" t="str">
        <x:f>IF(COUNT(J48:P48)=7,AVERAGE(J48:P48),"")</x:f>
      </x:c>
      <x:c r="Y48" s="56" t="str">
        <x:f>IF(U48&lt;&gt;"Complete","Pending",IF(OR(I48="",COUNT(J48:P48)&lt;7,Q48="",R48="",S48="",T48=""),"Incomplete",IF(OR(I48="Fail",P48&lt;=2,X48&lt;=3),"Failure","Reviewed")))</x:f>
        <x:v>Pending</x:v>
      </x:c>
    </x:row>
    <x:row r="49" ht="112" customHeight="1">
      <x:c r="A49" s="54" t="n">
        <x:v>46</x:v>
      </x:c>
      <x:c r="B49" s="54" t="str">
        <x:v>G023-B</x:v>
      </x:c>
      <x:c r="C49" s="54" t="str">
        <x:v>G023</x:v>
      </x:c>
      <x:c r="D49" s="54" t="str">
        <x:v>MV-SERUM-001</x:v>
      </x:c>
      <x:c r="E49" s="54" t="str">
        <x:v>en-US</x:v>
      </x:c>
      <x:c r="F49" s="54" t="str">
        <x:v>social_ad_copy</x:v>
      </x:c>
      <x:c r="G49" s="54" t="str">
        <x:v>B</x:v>
      </x:c>
      <x:c r="H49" s="22" t="str">
        <x:v>HOOK: Light hydration before moisturizer.
BODY: A water-based gel with glycerin, sodium hyaluronate and panthenol that helps skin feel hydrated. Apply 1–2 pumps to the face and neck after cleansing, follow with moisturizer, and avoid the eye area.
CTA: See product details.</x:v>
      </x:c>
      <x:c r="I49" s="55"/>
      <x:c r="J49" s="55"/>
      <x:c r="K49" s="55"/>
      <x:c r="L49" s="55"/>
      <x:c r="M49" s="55"/>
      <x:c r="N49" s="55"/>
      <x:c r="O49" s="55"/>
      <x:c r="P49" s="55"/>
      <x:c r="Q49" s="55"/>
      <x:c r="R49" s="55"/>
      <x:c r="S49" s="58"/>
      <x:c r="T49" s="55"/>
      <x:c r="U49" s="55" t="str">
        <x:v>Pending</x:v>
      </x:c>
      <x:c r="V49" s="50"/>
      <x:c r="W49" s="50"/>
      <x:c r="X49" s="57" t="str">
        <x:f>IF(COUNT(J49:P49)=7,AVERAGE(J49:P49),"")</x:f>
      </x:c>
      <x:c r="Y49" s="56" t="str">
        <x:f>IF(U49&lt;&gt;"Complete","Pending",IF(OR(I49="",COUNT(J49:P49)&lt;7,Q49="",R49="",S49="",T49=""),"Incomplete",IF(OR(I49="Fail",P49&lt;=2,X49&lt;=3),"Failure","Reviewed")))</x:f>
        <x:v>Pending</x:v>
      </x:c>
    </x:row>
    <x:row r="50" ht="112" customHeight="1">
      <x:c r="A50" s="54" t="n">
        <x:v>47</x:v>
      </x:c>
      <x:c r="B50" s="54" t="str">
        <x:v>G024-A</x:v>
      </x:c>
      <x:c r="C50" s="54" t="str">
        <x:v>G024</x:v>
      </x:c>
      <x:c r="D50" s="54" t="str">
        <x:v>MV-CREAM-001</x:v>
      </x:c>
      <x:c r="E50" s="54" t="str">
        <x:v>en-US</x:v>
      </x:c>
      <x:c r="F50" s="54" t="str">
        <x:v>social_ad_copy</x:v>
      </x:c>
      <x:c r="G50" s="54" t="str">
        <x:v>A</x:v>
      </x:c>
      <x:c r="H50" s="22" t="str">
        <x:v>HOOK: Moisturizes dry skin.
BODY: a cream texture made without added fragrance. Contains glycerin, squalane, panthenol and beta-glucan. Put a suitable amount on clean face and neck and use sunscreen in daytime.
CTA: Buy now.</x:v>
      </x:c>
      <x:c r="I50" s="55"/>
      <x:c r="J50" s="55"/>
      <x:c r="K50" s="55"/>
      <x:c r="L50" s="55"/>
      <x:c r="M50" s="55"/>
      <x:c r="N50" s="55"/>
      <x:c r="O50" s="55"/>
      <x:c r="P50" s="55"/>
      <x:c r="Q50" s="55"/>
      <x:c r="R50" s="55"/>
      <x:c r="S50" s="58"/>
      <x:c r="T50" s="55"/>
      <x:c r="U50" s="55" t="str">
        <x:v>Pending</x:v>
      </x:c>
      <x:c r="V50" s="50"/>
      <x:c r="W50" s="50"/>
      <x:c r="X50" s="57" t="str">
        <x:f>IF(COUNT(J50:P50)=7,AVERAGE(J50:P50),"")</x:f>
      </x:c>
      <x:c r="Y50" s="56" t="str">
        <x:f>IF(U50&lt;&gt;"Complete","Pending",IF(OR(I50="",COUNT(J50:P50)&lt;7,Q50="",R50="",S50="",T50=""),"Incomplete",IF(OR(I50="Fail",P50&lt;=2,X50&lt;=3),"Failure","Reviewed")))</x:f>
        <x:v>Pending</x:v>
      </x:c>
    </x:row>
    <x:row r="51" ht="112" customHeight="1">
      <x:c r="A51" s="54" t="n">
        <x:v>48</x:v>
      </x:c>
      <x:c r="B51" s="54" t="str">
        <x:v>G024-B</x:v>
      </x:c>
      <x:c r="C51" s="54" t="str">
        <x:v>G024</x:v>
      </x:c>
      <x:c r="D51" s="54" t="str">
        <x:v>MV-CREAM-001</x:v>
      </x:c>
      <x:c r="E51" s="54" t="str">
        <x:v>en-US</x:v>
      </x:c>
      <x:c r="F51" s="54" t="str">
        <x:v>social_ad_copy</x:v>
      </x:c>
      <x:c r="G51" s="54" t="str">
        <x:v>B</x:v>
      </x:c>
      <x:c r="H51" s="22" t="str">
        <x:v>HOOK: A fragrance-free moisturizing step.
BODY: Made with squalane, panthenol and beta-glucan to help skin feel soft and moisturized. Apply to a clean face and neck; follow with sunscreen during the day.
CTA: See product details.</x:v>
      </x:c>
      <x:c r="I51" s="55"/>
      <x:c r="J51" s="55"/>
      <x:c r="K51" s="55"/>
      <x:c r="L51" s="55"/>
      <x:c r="M51" s="55"/>
      <x:c r="N51" s="55"/>
      <x:c r="O51" s="55"/>
      <x:c r="P51" s="55"/>
      <x:c r="Q51" s="55"/>
      <x:c r="R51" s="55"/>
      <x:c r="S51" s="58"/>
      <x:c r="T51" s="55"/>
      <x:c r="U51" s="55" t="str">
        <x:v>Pending</x:v>
      </x:c>
      <x:c r="V51" s="50"/>
      <x:c r="W51" s="50"/>
      <x:c r="X51" s="57" t="str">
        <x:f>IF(COUNT(J51:P51)=7,AVERAGE(J51:P51),"")</x:f>
      </x:c>
      <x:c r="Y51" s="56" t="str">
        <x:f>IF(U51&lt;&gt;"Complete","Pending",IF(OR(I51="",COUNT(J51:P51)&lt;7,Q51="",R51="",S51="",T51=""),"Incomplete",IF(OR(I51="Fail",P51&lt;=2,X51&lt;=3),"Failure","Reviewed")))</x:f>
        <x:v>Pending</x:v>
      </x:c>
    </x:row>
    <x:row r="52" ht="112" customHeight="1">
      <x:c r="A52" s="54" t="n">
        <x:v>49</x:v>
      </x:c>
      <x:c r="B52" s="54" t="str">
        <x:v>G025-A</x:v>
      </x:c>
      <x:c r="C52" s="54" t="str">
        <x:v>G025</x:v>
      </x:c>
      <x:c r="D52" s="54" t="str">
        <x:v>MV-HAND-001</x:v>
      </x:c>
      <x:c r="E52" s="54" t="str">
        <x:v>es-MX</x:v>
      </x:c>
      <x:c r="F52" s="54" t="str">
        <x:v>social_ad_copy</x:v>
      </x:c>
      <x:c r="G52" s="54" t="str">
        <x:v>A</x:v>
      </x:c>
      <x:c r="H52" s="22" t="str">
        <x:v>GANCHO: Repara las manos secas después de lavarlas.
TEXTO: Sin fragancia añadida y en tubo de aluminio. Contiene glicerina, manteca de karité, pantenol y alantoína. Aplica en manos y bordes de uñas repetidamente cuando sea necesario.
CTA: Compra ahora.</x:v>
      </x:c>
      <x:c r="I52" s="55"/>
      <x:c r="J52" s="55"/>
      <x:c r="K52" s="55"/>
      <x:c r="L52" s="55"/>
      <x:c r="M52" s="55"/>
      <x:c r="N52" s="55"/>
      <x:c r="O52" s="55"/>
      <x:c r="P52" s="55"/>
      <x:c r="Q52" s="55"/>
      <x:c r="R52" s="55"/>
      <x:c r="S52" s="58"/>
      <x:c r="T52" s="55"/>
      <x:c r="U52" s="55" t="str">
        <x:v>Pending</x:v>
      </x:c>
      <x:c r="V52" s="50"/>
      <x:c r="W52" s="50"/>
      <x:c r="X52" s="57" t="str">
        <x:f>IF(COUNT(J52:P52)=7,AVERAGE(J52:P52),"")</x:f>
      </x:c>
      <x:c r="Y52" s="56" t="str">
        <x:f>IF(U52&lt;&gt;"Complete","Pending",IF(OR(I52="",COUNT(J52:P52)&lt;7,Q52="",R52="",S52="",T52=""),"Incomplete",IF(OR(I52="Fail",P52&lt;=2,X52&lt;=3),"Failure","Reviewed")))</x:f>
        <x:v>Pending</x:v>
      </x:c>
    </x:row>
    <x:row r="53" ht="112" customHeight="1">
      <x:c r="A53" s="54" t="n">
        <x:v>50</x:v>
      </x:c>
      <x:c r="B53" s="54" t="str">
        <x:v>G025-B</x:v>
      </x:c>
      <x:c r="C53" s="54" t="str">
        <x:v>G025</x:v>
      </x:c>
      <x:c r="D53" s="54" t="str">
        <x:v>MV-HAND-001</x:v>
      </x:c>
      <x:c r="E53" s="54" t="str">
        <x:v>es-MX</x:v>
      </x:c>
      <x:c r="F53" s="54" t="str">
        <x:v>social_ad_copy</x:v>
      </x:c>
      <x:c r="G53" s="54" t="str">
        <x:v>B</x:v>
      </x:c>
      <x:c r="H53" s="22" t="str">
        <x:v>GANCHO: Un paso sencillo para las manos después del lavado.
TEXTO: Con glicerina, manteca de karité, pantenol y alantoína para ayudar a que las manos se sientan suaves e hidratadas. Masajea las manos y el contorno de las uñas según sea necesario; solo para uso externo.
CTA: Consulta los detalles.</x:v>
      </x:c>
      <x:c r="I53" s="55"/>
      <x:c r="J53" s="55"/>
      <x:c r="K53" s="55"/>
      <x:c r="L53" s="55"/>
      <x:c r="M53" s="55"/>
      <x:c r="N53" s="55"/>
      <x:c r="O53" s="55"/>
      <x:c r="P53" s="55"/>
      <x:c r="Q53" s="55"/>
      <x:c r="R53" s="55"/>
      <x:c r="S53" s="58"/>
      <x:c r="T53" s="55"/>
      <x:c r="U53" s="55" t="str">
        <x:v>Pending</x:v>
      </x:c>
      <x:c r="V53" s="50"/>
      <x:c r="W53" s="50"/>
      <x:c r="X53" s="57" t="str">
        <x:f>IF(COUNT(J53:P53)=7,AVERAGE(J53:P53),"")</x:f>
      </x:c>
      <x:c r="Y53" s="56" t="str">
        <x:f>IF(U53&lt;&gt;"Complete","Pending",IF(OR(I53="",COUNT(J53:P53)&lt;7,Q53="",R53="",S53="",T53=""),"Incomplete",IF(OR(I53="Fail",P53&lt;=2,X53&lt;=3),"Failure","Reviewed")))</x:f>
        <x:v>Pending</x:v>
      </x:c>
    </x:row>
    <x:row r="54" ht="112" customHeight="1">
      <x:c r="A54" s="54" t="n">
        <x:v>51</x:v>
      </x:c>
      <x:c r="B54" s="54" t="str">
        <x:v>G026-A</x:v>
      </x:c>
      <x:c r="C54" s="54" t="str">
        <x:v>G026</x:v>
      </x:c>
      <x:c r="D54" s="54" t="str">
        <x:v>MV-CLEAN-001</x:v>
      </x:c>
      <x:c r="E54" s="54" t="str">
        <x:v>en-US</x:v>
      </x:c>
      <x:c r="F54" s="54" t="str">
        <x:v>social_ad_copy</x:v>
      </x:c>
      <x:c r="G54" s="54" t="str">
        <x:v>A</x:v>
      </x:c>
      <x:c r="H54" s="22" t="str">
        <x:v>HOOK: A clear, fragrance-free start to your routine.
BODY: Made without added fragrance or sulfate surfactants, this cleanser helps remove surface dirt and excess oil. Massage 1–2 pumps over a wet face for about 30 seconds, rinse, and avoid the eye area.
CTA: See product details.</x:v>
      </x:c>
      <x:c r="I54" s="55"/>
      <x:c r="J54" s="55"/>
      <x:c r="K54" s="55"/>
      <x:c r="L54" s="55"/>
      <x:c r="M54" s="55"/>
      <x:c r="N54" s="55"/>
      <x:c r="O54" s="55"/>
      <x:c r="P54" s="55"/>
      <x:c r="Q54" s="55"/>
      <x:c r="R54" s="55"/>
      <x:c r="S54" s="58"/>
      <x:c r="T54" s="55"/>
      <x:c r="U54" s="55" t="str">
        <x:v>Pending</x:v>
      </x:c>
      <x:c r="V54" s="50"/>
      <x:c r="W54" s="50"/>
      <x:c r="X54" s="57" t="str">
        <x:f>IF(COUNT(J54:P54)=7,AVERAGE(J54:P54),"")</x:f>
      </x:c>
      <x:c r="Y54" s="56" t="str">
        <x:f>IF(U54&lt;&gt;"Complete","Pending",IF(OR(I54="",COUNT(J54:P54)&lt;7,Q54="",R54="",S54="",T54=""),"Incomplete",IF(OR(I54="Fail",P54&lt;=2,X54&lt;=3),"Failure","Reviewed")))</x:f>
        <x:v>Pending</x:v>
      </x:c>
    </x:row>
    <x:row r="55" ht="112" customHeight="1">
      <x:c r="A55" s="54" t="n">
        <x:v>52</x:v>
      </x:c>
      <x:c r="B55" s="54" t="str">
        <x:v>G026-B</x:v>
      </x:c>
      <x:c r="C55" s="54" t="str">
        <x:v>G026</x:v>
      </x:c>
      <x:c r="D55" s="54" t="str">
        <x:v>MV-CLEAN-001</x:v>
      </x:c>
      <x:c r="E55" s="54" t="str">
        <x:v>en-US</x:v>
      </x:c>
      <x:c r="F55" s="54" t="str">
        <x:v>social_ad_copy</x:v>
      </x:c>
      <x:c r="G55" s="54" t="str">
        <x:v>B</x:v>
      </x:c>
      <x:c r="H55" s="22" t="str">
        <x:v>HOOK: Removes dirt and excess oil from skin.
BODY: made without added fragrance or sulfate surfactants. Contains glycerin, sodium cocoyl glycinate and panthenol. Use 1–2 pumps on the wet face, massage for 30 seconds and wash with water.
CTA: Buy now.</x:v>
      </x:c>
      <x:c r="I55" s="55"/>
      <x:c r="J55" s="55"/>
      <x:c r="K55" s="55"/>
      <x:c r="L55" s="55"/>
      <x:c r="M55" s="55"/>
      <x:c r="N55" s="55"/>
      <x:c r="O55" s="55"/>
      <x:c r="P55" s="55"/>
      <x:c r="Q55" s="55"/>
      <x:c r="R55" s="55"/>
      <x:c r="S55" s="58"/>
      <x:c r="T55" s="55"/>
      <x:c r="U55" s="55" t="str">
        <x:v>Pending</x:v>
      </x:c>
      <x:c r="V55" s="50"/>
      <x:c r="W55" s="50"/>
      <x:c r="X55" s="57" t="str">
        <x:f>IF(COUNT(J55:P55)=7,AVERAGE(J55:P55),"")</x:f>
      </x:c>
      <x:c r="Y55" s="56" t="str">
        <x:f>IF(U55&lt;&gt;"Complete","Pending",IF(OR(I55="",COUNT(J55:P55)&lt;7,Q55="",R55="",S55="",T55=""),"Incomplete",IF(OR(I55="Fail",P55&lt;=2,X55&lt;=3),"Failure","Reviewed")))</x:f>
        <x:v>Pending</x:v>
      </x:c>
    </x:row>
    <x:row r="56" ht="112" customHeight="1">
      <x:c r="A56" s="54" t="n">
        <x:v>53</x:v>
      </x:c>
      <x:c r="B56" s="54" t="str">
        <x:v>G027-A</x:v>
      </x:c>
      <x:c r="C56" s="54" t="str">
        <x:v>G027</x:v>
      </x:c>
      <x:c r="D56" s="54" t="str">
        <x:v>MV-HAND-001</x:v>
      </x:c>
      <x:c r="E56" s="54" t="str">
        <x:v>es-MX</x:v>
      </x:c>
      <x:c r="F56" s="54" t="str">
        <x:v>product_listing</x:v>
      </x:c>
      <x:c r="G56" s="54" t="str">
        <x:v>A</x:v>
      </x:c>
      <x:c r="H56" s="22" t="str">
        <x:v>TÍTULO: Mirevane Botanics Crema para manos sin fragancia añadida, 60 mL
PUNTO 1: Sin fragancia añadida y en tubo de aluminio.
PUNTO 2: Formulado con glicerina, manteca de karité, pantenol y alantoína.
PUNTO 3: Ayuda a que las manos se sientan suaves e hidratadas después del lavado diario.
PUNTO 4: Masajea las manos y el contorno de las uñas según sea necesario; solo para uso externo.
PUNTO 5: Presentado en tubo de aluminio de 60 mL con tapa de PP.
DESCRIPCIÓN: Un paso sencillo para las manos después del lavado. Con glicerina, manteca de karité, pantenol y alantoína para ayudar a que las manos se sientan suaves e hidratadas. Masajea las manos y el contorno de las uñas según sea necesario; solo para uso externo.</x:v>
      </x:c>
      <x:c r="I56" s="55"/>
      <x:c r="J56" s="55"/>
      <x:c r="K56" s="55"/>
      <x:c r="L56" s="55"/>
      <x:c r="M56" s="55"/>
      <x:c r="N56" s="55"/>
      <x:c r="O56" s="55"/>
      <x:c r="P56" s="55"/>
      <x:c r="Q56" s="55"/>
      <x:c r="R56" s="55"/>
      <x:c r="S56" s="58"/>
      <x:c r="T56" s="55"/>
      <x:c r="U56" s="55" t="str">
        <x:v>Pending</x:v>
      </x:c>
      <x:c r="V56" s="50"/>
      <x:c r="W56" s="50"/>
      <x:c r="X56" s="57" t="str">
        <x:f>IF(COUNT(J56:P56)=7,AVERAGE(J56:P56),"")</x:f>
      </x:c>
      <x:c r="Y56" s="56" t="str">
        <x:f>IF(U56&lt;&gt;"Complete","Pending",IF(OR(I56="",COUNT(J56:P56)&lt;7,Q56="",R56="",S56="",T56=""),"Incomplete",IF(OR(I56="Fail",P56&lt;=2,X56&lt;=3),"Failure","Reviewed")))</x:f>
        <x:v>Pending</x:v>
      </x:c>
    </x:row>
    <x:row r="57" ht="112" customHeight="1">
      <x:c r="A57" s="54" t="n">
        <x:v>54</x:v>
      </x:c>
      <x:c r="B57" s="54" t="str">
        <x:v>G027-B</x:v>
      </x:c>
      <x:c r="C57" s="54" t="str">
        <x:v>G027</x:v>
      </x:c>
      <x:c r="D57" s="54" t="str">
        <x:v>MV-HAND-001</x:v>
      </x:c>
      <x:c r="E57" s="54" t="str">
        <x:v>es-MX</x:v>
      </x:c>
      <x:c r="F57" s="54" t="str">
        <x:v>product_listing</x:v>
      </x:c>
      <x:c r="G57" s="54" t="str">
        <x:v>B</x:v>
      </x:c>
      <x:c r="H57" s="22" t="str">
        <x:v>TÍTULO: Mirevane Botanics Crema humectante de mano, 60 mL
PUNTO 1: Sin fragancia añadida y en tubo de aluminio.
PUNTO 2: Contiene glicerina, manteca de karité, pantenol y alantoína.
PUNTO 3: Repara las manos secas después de lavarlas.
DESCRIPCIÓN: Aplica en manos y bordes de uñas repetidamente cuando sea necesario. Empaque: tubo de aluminio de 60 mL con tapa de PP.</x:v>
      </x:c>
      <x:c r="I57" s="55"/>
      <x:c r="J57" s="55"/>
      <x:c r="K57" s="55"/>
      <x:c r="L57" s="55"/>
      <x:c r="M57" s="55"/>
      <x:c r="N57" s="55"/>
      <x:c r="O57" s="55"/>
      <x:c r="P57" s="55"/>
      <x:c r="Q57" s="55"/>
      <x:c r="R57" s="55"/>
      <x:c r="S57" s="58"/>
      <x:c r="T57" s="55"/>
      <x:c r="U57" s="55" t="str">
        <x:v>Pending</x:v>
      </x:c>
      <x:c r="V57" s="50"/>
      <x:c r="W57" s="50"/>
      <x:c r="X57" s="57" t="str">
        <x:f>IF(COUNT(J57:P57)=7,AVERAGE(J57:P57),"")</x:f>
      </x:c>
      <x:c r="Y57" s="56" t="str">
        <x:f>IF(U57&lt;&gt;"Complete","Pending",IF(OR(I57="",COUNT(J57:P57)&lt;7,Q57="",R57="",S57="",T57=""),"Incomplete",IF(OR(I57="Fail",P57&lt;=2,X57&lt;=3),"Failure","Reviewed")))</x:f>
        <x:v>Pending</x:v>
      </x:c>
    </x:row>
    <x:row r="58" ht="112" customHeight="1">
      <x:c r="A58" s="54" t="n">
        <x:v>55</x:v>
      </x:c>
      <x:c r="B58" s="54" t="str">
        <x:v>G028-A</x:v>
      </x:c>
      <x:c r="C58" s="54" t="str">
        <x:v>G028</x:v>
      </x:c>
      <x:c r="D58" s="54" t="str">
        <x:v>MV-SERUM-001</x:v>
      </x:c>
      <x:c r="E58" s="54" t="str">
        <x:v>es-MX</x:v>
      </x:c>
      <x:c r="F58" s="54" t="str">
        <x:v>short_video_script</x:v>
      </x:c>
      <x:c r="G58" s="54" t="str">
        <x:v>A</x:v>
      </x:c>
      <x:c r="H58" s="22" t="str">
        <x:v>00:00–00:03 GANCHO — Visual: Producto en una rutina sencilla. Voz: Hidratación ligera antes de tu crema.
00:03–00:08 CARACTERÍSTICA — Visual: Textura y envase. Voz: Gel de base acuosa sin fragancia añadida.
00:08–00:13 USO + EXPERIENCIA — Visual: Demostración de uso. Voz: Ayuda a que la piel se sienta hidratada y suave. Después de limpiar el rostro, aplica de 1 a 2 dosis en cara y cuello, continúa con tu crema hidratante y evita el contorno de ojos.
00:13–00:15 CTA — Texto en pantalla: Consulta los detalles.
TEXTO: Un gel de base acuosa con glicerina, hialuronato de sodio y pantenol que ayuda a que la piel se sienta hidratada.</x:v>
      </x:c>
      <x:c r="I58" s="55"/>
      <x:c r="J58" s="55"/>
      <x:c r="K58" s="55"/>
      <x:c r="L58" s="55"/>
      <x:c r="M58" s="55"/>
      <x:c r="N58" s="55"/>
      <x:c r="O58" s="55"/>
      <x:c r="P58" s="55"/>
      <x:c r="Q58" s="55"/>
      <x:c r="R58" s="55"/>
      <x:c r="S58" s="58"/>
      <x:c r="T58" s="55"/>
      <x:c r="U58" s="55" t="str">
        <x:v>Pending</x:v>
      </x:c>
      <x:c r="V58" s="50"/>
      <x:c r="W58" s="50"/>
      <x:c r="X58" s="57" t="str">
        <x:f>IF(COUNT(J58:P58)=7,AVERAGE(J58:P58),"")</x:f>
      </x:c>
      <x:c r="Y58" s="56" t="str">
        <x:f>IF(U58&lt;&gt;"Complete","Pending",IF(OR(I58="",COUNT(J58:P58)&lt;7,Q58="",R58="",S58="",T58=""),"Incomplete",IF(OR(I58="Fail",P58&lt;=2,X58&lt;=3),"Failure","Reviewed")))</x:f>
        <x:v>Pending</x:v>
      </x:c>
    </x:row>
    <x:row r="59" ht="112" customHeight="1">
      <x:c r="A59" s="54" t="n">
        <x:v>56</x:v>
      </x:c>
      <x:c r="B59" s="54" t="str">
        <x:v>G028-B</x:v>
      </x:c>
      <x:c r="C59" s="54" t="str">
        <x:v>G028</x:v>
      </x:c>
      <x:c r="D59" s="54" t="str">
        <x:v>MV-SERUM-001</x:v>
      </x:c>
      <x:c r="E59" s="54" t="str">
        <x:v>es-MX</x:v>
      </x:c>
      <x:c r="F59" s="54" t="str">
        <x:v>short_video_script</x:v>
      </x:c>
      <x:c r="G59" s="54" t="str">
        <x:v>B</x:v>
      </x:c>
      <x:c r="H59" s="22" t="str">
        <x:v>0–3 s: Muestra Serum humectante. Voz: Hidrata y suaviza la piel.
3–10 s: Muestra uso. Voz: Después de lavar, bombea 1–2 veces en cara y cuello y luego usa crema.
10–15 s: Muestra empaque. Texto: 30 mL. Compra ahora.
TEXTO: Serum humectante para el cuidado diario de piel.</x:v>
      </x:c>
      <x:c r="I59" s="55"/>
      <x:c r="J59" s="55"/>
      <x:c r="K59" s="55"/>
      <x:c r="L59" s="55"/>
      <x:c r="M59" s="55"/>
      <x:c r="N59" s="55"/>
      <x:c r="O59" s="55"/>
      <x:c r="P59" s="55"/>
      <x:c r="Q59" s="55"/>
      <x:c r="R59" s="55"/>
      <x:c r="S59" s="58"/>
      <x:c r="T59" s="55"/>
      <x:c r="U59" s="55" t="str">
        <x:v>Pending</x:v>
      </x:c>
      <x:c r="V59" s="50"/>
      <x:c r="W59" s="50"/>
      <x:c r="X59" s="57" t="str">
        <x:f>IF(COUNT(J59:P59)=7,AVERAGE(J59:P59),"")</x:f>
      </x:c>
      <x:c r="Y59" s="56" t="str">
        <x:f>IF(U59&lt;&gt;"Complete","Pending",IF(OR(I59="",COUNT(J59:P59)&lt;7,Q59="",R59="",S59="",T59=""),"Incomplete",IF(OR(I59="Fail",P59&lt;=2,X59&lt;=3),"Failure","Reviewed")))</x:f>
        <x:v>Pending</x:v>
      </x:c>
    </x:row>
    <x:row r="60" ht="112" customHeight="1">
      <x:c r="A60" s="54" t="n">
        <x:v>57</x:v>
      </x:c>
      <x:c r="B60" s="54" t="str">
        <x:v>G029-A</x:v>
      </x:c>
      <x:c r="C60" s="54" t="str">
        <x:v>G029</x:v>
      </x:c>
      <x:c r="D60" s="54" t="str">
        <x:v>MV-CREAM-001</x:v>
      </x:c>
      <x:c r="E60" s="54" t="str">
        <x:v>es-MX</x:v>
      </x:c>
      <x:c r="F60" s="54" t="str">
        <x:v>product_listing</x:v>
      </x:c>
      <x:c r="G60" s="54" t="str">
        <x:v>A</x:v>
      </x:c>
      <x:c r="H60" s="22" t="str">
        <x:v>TÍTULO: Mirevane Botanics Crema de cara libre de fragancia, 50 mL
PUNTO 1: Textura en crema sin fragancia añadida.
PUNTO 2: Contiene glicerina, escualano, pantenol y beta-glucano.
PUNTO 3: Hidrata la piel seca.
DESCRIPCIÓN: Pon una cantidad adecuada en cara y cuello limpios y usa bloqueador en el día. Empaque: tarro de PP de 50 mL con tapa interior.</x:v>
      </x:c>
      <x:c r="I60" s="55"/>
      <x:c r="J60" s="55"/>
      <x:c r="K60" s="55"/>
      <x:c r="L60" s="55"/>
      <x:c r="M60" s="55"/>
      <x:c r="N60" s="55"/>
      <x:c r="O60" s="55"/>
      <x:c r="P60" s="55"/>
      <x:c r="Q60" s="55"/>
      <x:c r="R60" s="55"/>
      <x:c r="S60" s="58"/>
      <x:c r="T60" s="55"/>
      <x:c r="U60" s="55" t="str">
        <x:v>Pending</x:v>
      </x:c>
      <x:c r="V60" s="50"/>
      <x:c r="W60" s="50"/>
      <x:c r="X60" s="57" t="str">
        <x:f>IF(COUNT(J60:P60)=7,AVERAGE(J60:P60),"")</x:f>
      </x:c>
      <x:c r="Y60" s="56" t="str">
        <x:f>IF(U60&lt;&gt;"Complete","Pending",IF(OR(I60="",COUNT(J60:P60)&lt;7,Q60="",R60="",S60="",T60=""),"Incomplete",IF(OR(I60="Fail",P60&lt;=2,X60&lt;=3),"Failure","Reviewed")))</x:f>
        <x:v>Pending</x:v>
      </x:c>
    </x:row>
    <x:row r="61" ht="112" customHeight="1">
      <x:c r="A61" s="54" t="n">
        <x:v>58</x:v>
      </x:c>
      <x:c r="B61" s="54" t="str">
        <x:v>G029-B</x:v>
      </x:c>
      <x:c r="C61" s="54" t="str">
        <x:v>G029</x:v>
      </x:c>
      <x:c r="D61" s="54" t="str">
        <x:v>MV-CREAM-001</x:v>
      </x:c>
      <x:c r="E61" s="54" t="str">
        <x:v>es-MX</x:v>
      </x:c>
      <x:c r="F61" s="54" t="str">
        <x:v>product_listing</x:v>
      </x:c>
      <x:c r="G61" s="54" t="str">
        <x:v>B</x:v>
      </x:c>
      <x:c r="H61" s="22" t="str">
        <x:v>TÍTULO: Mirevane Botanics Crema hidratante facial sin fragancia añadida, 50 mL
PUNTO 1: Textura en crema sin fragancia añadida.
PUNTO 2: Formulado con glicerina, escualano, pantenol y beta-glucano.
PUNTO 3: Ayuda a que la piel se sienta suave e hidratada.
PUNTO 4: Aplícala en el rostro y cuello limpios; durante el día, continúa con protector solar.
PUNTO 5: Presentado en tarro de PP de 50 mL con tapa interior.
DESCRIPCIÓN: Un paso hidratante sin fragancia añadida. Con escualano, pantenol y beta-glucano para ayudar a que la piel se sienta suave e hidratada. Aplícala en el rostro y cuello limpios; durante el día, continúa con protector solar.</x:v>
      </x:c>
      <x:c r="I61" s="55"/>
      <x:c r="J61" s="55"/>
      <x:c r="K61" s="55"/>
      <x:c r="L61" s="55"/>
      <x:c r="M61" s="55"/>
      <x:c r="N61" s="55"/>
      <x:c r="O61" s="55"/>
      <x:c r="P61" s="55"/>
      <x:c r="Q61" s="55"/>
      <x:c r="R61" s="55"/>
      <x:c r="S61" s="58"/>
      <x:c r="T61" s="55"/>
      <x:c r="U61" s="55" t="str">
        <x:v>Pending</x:v>
      </x:c>
      <x:c r="V61" s="50"/>
      <x:c r="W61" s="50"/>
      <x:c r="X61" s="57" t="str">
        <x:f>IF(COUNT(J61:P61)=7,AVERAGE(J61:P61),"")</x:f>
      </x:c>
      <x:c r="Y61" s="56" t="str">
        <x:f>IF(U61&lt;&gt;"Complete","Pending",IF(OR(I61="",COUNT(J61:P61)&lt;7,Q61="",R61="",S61="",T61=""),"Incomplete",IF(OR(I61="Fail",P61&lt;=2,X61&lt;=3),"Failure","Reviewed")))</x:f>
        <x:v>Pending</x:v>
      </x:c>
    </x:row>
    <x:row r="62" ht="112" customHeight="1">
      <x:c r="A62" s="54" t="n">
        <x:v>59</x:v>
      </x:c>
      <x:c r="B62" s="54" t="str">
        <x:v>G030-A</x:v>
      </x:c>
      <x:c r="C62" s="54" t="str">
        <x:v>G030</x:v>
      </x:c>
      <x:c r="D62" s="54" t="str">
        <x:v>MV-KIT-001</x:v>
      </x:c>
      <x:c r="E62" s="54" t="str">
        <x:v>es-MX</x:v>
      </x:c>
      <x:c r="F62" s="54" t="str">
        <x:v>social_ad_copy</x:v>
      </x:c>
      <x:c r="G62" s="54" t="str">
        <x:v>A</x:v>
      </x:c>
      <x:c r="H62" s="22" t="str">
        <x:v>GANCHO: Cubre todas tus necesidades de piel cuando viajas.
TEXTO: Tres productos mini sin fragancia añadida en una caja de cartón. Contiene limpiador de 30 mL, sérum de 10 mL y crema hidratante de 15 mL. Usa primero limpiador, segundo serum y tercero crema.
CTA: Compra ahora.</x:v>
      </x:c>
      <x:c r="I62" s="55"/>
      <x:c r="J62" s="55"/>
      <x:c r="K62" s="55"/>
      <x:c r="L62" s="55"/>
      <x:c r="M62" s="55"/>
      <x:c r="N62" s="55"/>
      <x:c r="O62" s="55"/>
      <x:c r="P62" s="55"/>
      <x:c r="Q62" s="55"/>
      <x:c r="R62" s="55"/>
      <x:c r="S62" s="58"/>
      <x:c r="T62" s="55"/>
      <x:c r="U62" s="55" t="str">
        <x:v>Pending</x:v>
      </x:c>
      <x:c r="V62" s="50"/>
      <x:c r="W62" s="50"/>
      <x:c r="X62" s="57" t="str">
        <x:f>IF(COUNT(J62:P62)=7,AVERAGE(J62:P62),"")</x:f>
      </x:c>
      <x:c r="Y62" s="56" t="str">
        <x:f>IF(U62&lt;&gt;"Complete","Pending",IF(OR(I62="",COUNT(J62:P62)&lt;7,Q62="",R62="",S62="",T62=""),"Incomplete",IF(OR(I62="Fail",P62&lt;=2,X62&lt;=3),"Failure","Reviewed")))</x:f>
        <x:v>Pending</x:v>
      </x:c>
    </x:row>
    <x:row r="63" ht="112" customHeight="1">
      <x:c r="A63" s="54" t="n">
        <x:v>60</x:v>
      </x:c>
      <x:c r="B63" s="54" t="str">
        <x:v>G030-B</x:v>
      </x:c>
      <x:c r="C63" s="54" t="str">
        <x:v>G030</x:v>
      </x:c>
      <x:c r="D63" s="54" t="str">
        <x:v>MV-KIT-001</x:v>
      </x:c>
      <x:c r="E63" s="54" t="str">
        <x:v>es-MX</x:v>
      </x:c>
      <x:c r="F63" s="54" t="str">
        <x:v>social_ad_copy</x:v>
      </x:c>
      <x:c r="G63" s="54" t="str">
        <x:v>B</x:v>
      </x:c>
      <x:c r="H63" s="22" t="str">
        <x:v>GANCHO: Tres pasos sencillos en un set para viaje.
TEXTO: Limpiador, sérum y crema hidratante sin fragancia añadida, reunidos en una caja compacta. Usa el limpiador, el sérum y la crema hidratante en ese orden, siguiendo las indicaciones de cada producto.
CTA: Consulta los detalles.</x:v>
      </x:c>
      <x:c r="I63" s="55"/>
      <x:c r="J63" s="55"/>
      <x:c r="K63" s="55"/>
      <x:c r="L63" s="55"/>
      <x:c r="M63" s="55"/>
      <x:c r="N63" s="55"/>
      <x:c r="O63" s="55"/>
      <x:c r="P63" s="55"/>
      <x:c r="Q63" s="55"/>
      <x:c r="R63" s="55"/>
      <x:c r="S63" s="58"/>
      <x:c r="T63" s="55"/>
      <x:c r="U63" s="55" t="str">
        <x:v>Pending</x:v>
      </x:c>
      <x:c r="V63" s="50"/>
      <x:c r="W63" s="50"/>
      <x:c r="X63" s="57" t="str">
        <x:f>IF(COUNT(J63:P63)=7,AVERAGE(J63:P63),"")</x:f>
      </x:c>
      <x:c r="Y63" s="56" t="str">
        <x:f>IF(U63&lt;&gt;"Complete","Pending",IF(OR(I63="",COUNT(J63:P63)&lt;7,Q63="",R63="",S63="",T63=""),"Incomplete",IF(OR(I63="Fail",P63&lt;=2,X63&lt;=3),"Failure","Reviewed")))</x:f>
        <x:v>Pending</x:v>
      </x:c>
    </x:row>
  </x:sheetData>
  <x:mergeCells>
    <x:mergeCell ref="A1:Y1"/>
    <x:mergeCell ref="A2:Y2"/>
  </x:mergeCells>
  <x:conditionalFormatting sqref="I4:I63">
    <x:cfRule type="containsText" dxfId="0" priority="1" operator="containsText" text="Pass"/>
    <x:cfRule type="containsText" dxfId="1" priority="2" operator="containsText" text="Fail"/>
  </x:conditionalFormatting>
  <x:conditionalFormatting sqref="U4:U63">
    <x:cfRule type="containsText" dxfId="2" priority="3" operator="containsText" text="Complete"/>
  </x:conditionalFormatting>
  <x:conditionalFormatting sqref="Y4:Y63">
    <x:cfRule type="containsText" dxfId="3" priority="4" operator="containsText" text="Failure"/>
    <x:cfRule type="containsText" dxfId="4" priority="5" operator="containsText" text="Incomplete"/>
  </x:conditionalFormatting>
  <x:conditionalFormatting sqref="J4:P63">
    <x:cfRule type="colorScale" priority="6">
      <x:colorScale>
        <x:cfvo type="min"/>
        <x:cfvo type="percentile" val="50"/>
        <x:cfvo type="max"/>
        <x:color rgb="FFFDE2E1"/>
        <x:color rgb="FFFFF3CD"/>
        <x:color rgb="FFD9EFD9"/>
      </x:colorScale>
    </x:cfRule>
  </x:conditionalFormatting>
  <x:dataValidations count="5">
    <x:dataValidation type="list" sqref="I4:I63">
      <x:formula1>"Pass,Fail"</x:formula1>
    </x:dataValidation>
    <x:dataValidation type="whole" operator="between" sqref="J4:P63">
      <x:formula1>1</x:formula1>
      <x:formula2>5</x:formula2>
    </x:dataValidation>
    <x:dataValidation type="whole" operator="between" sqref="Q4:Q63">
      <x:formula1>0</x:formula1>
      <x:formula2>20</x:formula2>
    </x:dataValidation>
    <x:dataValidation type="whole" operator="between" sqref="R4:R63">
      <x:formula1>1</x:formula1>
      <x:formula2>180</x:formula2>
    </x:dataValidation>
    <x:dataValidation type="list" sqref="U4:U63">
      <x:formula1>"Pending,Complete"</x:formula1>
    </x:dataValidation>
  </x:dataValidations>
  <x:pageMargins left="0.7" right="0.7" top="0.75" bottom="0.75" header="0.3" footer="0.3"/>
  <x:tableParts count="1">
    <x:tablePart xmlns:r="http://schemas.openxmlformats.org/officeDocument/2006/relationships" r:id="Rf146d97b17ce4c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1" hidden="0" customWidth="1"/>
    <x:col min="3" max="3" width="18" hidden="0" customWidth="1"/>
    <x:col min="4" max="4" width="10" hidden="0" customWidth="1"/>
    <x:col min="5" max="5" width="11" hidden="0" customWidth="1"/>
    <x:col min="6" max="6" width="22" hidden="0" customWidth="1"/>
    <x:col min="7" max="7" width="15" hidden="0" customWidth="1"/>
    <x:col min="8" max="8" width="15" hidden="0" customWidth="1"/>
    <x:col min="9" max="9" width="11" hidden="0" customWidth="1"/>
    <x:col min="10" max="10" width="11" hidden="0" customWidth="1"/>
    <x:col min="11" max="11" width="13" hidden="0" customWidth="1"/>
    <x:col min="12" max="12" width="11" hidden="0" customWidth="1"/>
    <x:col min="13" max="13" width="11" hidden="0" customWidth="1"/>
    <x:col min="14" max="14" width="15" hidden="0" customWidth="1"/>
    <x:col min="15" max="15" width="15" hidden="0" customWidth="1"/>
    <x:col min="16" max="16" width="12" hidden="0" customWidth="1"/>
    <x:col min="17" max="17" width="12" hidden="0" customWidth="1"/>
    <x:col min="18" max="18" width="14" hidden="0" customWidth="1"/>
  </x:cols>
  <x:sheetData>
    <x:row r="1" ht="34" customHeight="1">
      <x:c r="A1" s="3" t="str">
        <x:v>Pair Progress｜30 Blind A/B Groups</x:v>
      </x:c>
      <x:c r="B1" s="3"/>
      <x:c r="C1" s="3"/>
      <x:c r="D1" s="3"/>
      <x:c r="E1" s="3"/>
      <x:c r="F1" s="3"/>
      <x:c r="G1" s="3"/>
      <x:c r="H1" s="3"/>
      <x:c r="I1" s="3"/>
      <x:c r="J1" s="3"/>
      <x:c r="K1" s="3"/>
      <x:c r="L1" s="3"/>
      <x:c r="M1" s="3"/>
      <x:c r="N1" s="3"/>
      <x:c r="O1" s="3"/>
      <x:c r="P1" s="3"/>
      <x:c r="Q1" s="3"/>
      <x:c r="R1" s="3"/>
    </x:row>
    <x:row r="2">
      <x:c r="A2" s="6" t="str">
        <x:v>只展示匿名候选 A/B 的完成状态和分数；真实版本映射不在本工作簿中。</x:v>
      </x:c>
      <x:c r="B2" s="6"/>
      <x:c r="C2" s="6"/>
      <x:c r="D2" s="6"/>
      <x:c r="E2" s="6"/>
      <x:c r="F2" s="6"/>
      <x:c r="G2" s="6"/>
      <x:c r="H2" s="6"/>
      <x:c r="I2" s="6"/>
      <x:c r="J2" s="6"/>
      <x:c r="K2" s="6"/>
      <x:c r="L2" s="6"/>
      <x:c r="M2" s="6"/>
      <x:c r="N2" s="6"/>
      <x:c r="O2" s="6"/>
      <x:c r="P2" s="6"/>
      <x:c r="Q2" s="6"/>
      <x:c r="R2" s="6"/>
    </x:row>
    <x:row r="3">
      <x:c r="A3" s="16" t="str">
        <x:v>Order</x:v>
      </x:c>
      <x:c r="B3" s="45" t="str">
        <x:v>Group ID</x:v>
      </x:c>
      <x:c r="C3" s="45" t="str">
        <x:v>SKU</x:v>
      </x:c>
      <x:c r="D3" s="45" t="str">
        <x:v>Market</x:v>
      </x:c>
      <x:c r="E3" s="45" t="str">
        <x:v>Language</x:v>
      </x:c>
      <x:c r="F3" s="45" t="str">
        <x:v>Content Type</x:v>
      </x:c>
      <x:c r="G3" s="45" t="str">
        <x:v>Candidate A ID</x:v>
      </x:c>
      <x:c r="H3" s="45" t="str">
        <x:v>Candidate B ID</x:v>
      </x:c>
      <x:c r="I3" s="45" t="str">
        <x:v>A Mean</x:v>
      </x:c>
      <x:c r="J3" s="45" t="str">
        <x:v>B Mean</x:v>
      </x:c>
      <x:c r="K3" s="45" t="str">
        <x:v>Blind Gap A-B</x:v>
      </x:c>
      <x:c r="L3" s="45" t="str">
        <x:v>A Fact</x:v>
      </x:c>
      <x:c r="M3" s="45" t="str">
        <x:v>B Fact</x:v>
      </x:c>
      <x:c r="N3" s="45" t="str">
        <x:v>A Modifications</x:v>
      </x:c>
      <x:c r="O3" s="45" t="str">
        <x:v>B Modifications</x:v>
      </x:c>
      <x:c r="P3" s="45" t="str">
        <x:v>A Minutes</x:v>
      </x:c>
      <x:c r="Q3" s="45" t="str">
        <x:v>B Minutes</x:v>
      </x:c>
      <x:c r="R3" s="17" t="str">
        <x:v>Pair Status</x:v>
      </x:c>
    </x:row>
    <x:row r="4" ht="30" customHeight="1">
      <x:c r="A4" s="22" t="n">
        <x:v>1</x:v>
      </x:c>
      <x:c r="B4" s="22" t="str">
        <x:v>G001</x:v>
      </x:c>
      <x:c r="C4" s="22" t="str">
        <x:v>MV-CREAM-001</x:v>
      </x:c>
      <x:c r="D4" s="22" t="str">
        <x:v>US</x:v>
      </x:c>
      <x:c r="E4" s="22" t="str">
        <x:v>en-US</x:v>
      </x:c>
      <x:c r="F4" s="22" t="str">
        <x:v>short_video_script</x:v>
      </x:c>
      <x:c r="G4" s="22" t="str">
        <x:v>G001-A</x:v>
      </x:c>
      <x:c r="H4" s="22" t="str">
        <x:v>G001-B</x:v>
      </x:c>
      <x:c r="I4" s="59" t="str">
        <x:f>IF(OR('Blind Review'!$Y$4="Reviewed",'Blind Review'!$Y$4="Failure"),'Blind Review'!$X$4,"")</x:f>
      </x:c>
      <x:c r="J4" s="59" t="str">
        <x:f>IF(OR('Blind Review'!$Y$5="Reviewed",'Blind Review'!$Y$5="Failure"),'Blind Review'!$X$5,"")</x:f>
      </x:c>
      <x:c r="K4" s="59" t="str">
        <x:f>IF(COUNT(I4:J4)=2,I4-J4,"")</x:f>
      </x:c>
      <x:c r="L4" s="53" t="str">
        <x:f>IF(OR('Blind Review'!$Y$4="Reviewed",'Blind Review'!$Y$4="Failure"),'Blind Review'!$I$4,"")</x:f>
      </x:c>
      <x:c r="M4" s="53" t="str">
        <x:f>IF(OR('Blind Review'!$Y$5="Reviewed",'Blind Review'!$Y$5="Failure"),'Blind Review'!$I$5,"")</x:f>
      </x:c>
      <x:c r="N4" s="53" t="str">
        <x:f>IF(OR('Blind Review'!$Y$4="Reviewed",'Blind Review'!$Y$4="Failure"),'Blind Review'!$Q$4,"")</x:f>
      </x:c>
      <x:c r="O4" s="53" t="str">
        <x:f>IF(OR('Blind Review'!$Y$5="Reviewed",'Blind Review'!$Y$5="Failure"),'Blind Review'!$Q$5,"")</x:f>
      </x:c>
      <x:c r="P4" s="53" t="str">
        <x:f>IF(OR('Blind Review'!$Y$4="Reviewed",'Blind Review'!$Y$4="Failure"),'Blind Review'!$R$4,"")</x:f>
      </x:c>
      <x:c r="Q4" s="53" t="str">
        <x:f>IF(OR('Blind Review'!$Y$5="Reviewed",'Blind Review'!$Y$5="Failure"),'Blind Review'!$R$5,"")</x:f>
      </x:c>
      <x:c r="R4" s="53" t="str">
        <x:f>IF(AND(OR('Blind Review'!$Y$4="Reviewed",'Blind Review'!$Y$4="Failure"),OR('Blind Review'!$Y$5="Reviewed",'Blind Review'!$Y$5="Failure")),"Complete","Pending")</x:f>
        <x:v>Pending</x:v>
      </x:c>
    </x:row>
    <x:row r="5" ht="30" customHeight="1">
      <x:c r="A5" s="22" t="n">
        <x:v>2</x:v>
      </x:c>
      <x:c r="B5" s="22" t="str">
        <x:v>G002</x:v>
      </x:c>
      <x:c r="C5" s="22" t="str">
        <x:v>MV-KIT-001</x:v>
      </x:c>
      <x:c r="D5" s="22" t="str">
        <x:v>US</x:v>
      </x:c>
      <x:c r="E5" s="22" t="str">
        <x:v>en-US</x:v>
      </x:c>
      <x:c r="F5" s="22" t="str">
        <x:v>social_ad_copy</x:v>
      </x:c>
      <x:c r="G5" s="22" t="str">
        <x:v>G002-A</x:v>
      </x:c>
      <x:c r="H5" s="22" t="str">
        <x:v>G002-B</x:v>
      </x:c>
      <x:c r="I5" s="59" t="str">
        <x:f>IF(OR('Blind Review'!$Y$6="Reviewed",'Blind Review'!$Y$6="Failure"),'Blind Review'!$X$6,"")</x:f>
      </x:c>
      <x:c r="J5" s="59" t="str">
        <x:f>IF(OR('Blind Review'!$Y$7="Reviewed",'Blind Review'!$Y$7="Failure"),'Blind Review'!$X$7,"")</x:f>
      </x:c>
      <x:c r="K5" s="59" t="str">
        <x:f>IF(COUNT(I5:J5)=2,I5-J5,"")</x:f>
      </x:c>
      <x:c r="L5" s="53" t="str">
        <x:f>IF(OR('Blind Review'!$Y$6="Reviewed",'Blind Review'!$Y$6="Failure"),'Blind Review'!$I$6,"")</x:f>
      </x:c>
      <x:c r="M5" s="53" t="str">
        <x:f>IF(OR('Blind Review'!$Y$7="Reviewed",'Blind Review'!$Y$7="Failure"),'Blind Review'!$I$7,"")</x:f>
      </x:c>
      <x:c r="N5" s="53" t="str">
        <x:f>IF(OR('Blind Review'!$Y$6="Reviewed",'Blind Review'!$Y$6="Failure"),'Blind Review'!$Q$6,"")</x:f>
      </x:c>
      <x:c r="O5" s="53" t="str">
        <x:f>IF(OR('Blind Review'!$Y$7="Reviewed",'Blind Review'!$Y$7="Failure"),'Blind Review'!$Q$7,"")</x:f>
      </x:c>
      <x:c r="P5" s="53" t="str">
        <x:f>IF(OR('Blind Review'!$Y$6="Reviewed",'Blind Review'!$Y$6="Failure"),'Blind Review'!$R$6,"")</x:f>
      </x:c>
      <x:c r="Q5" s="53" t="str">
        <x:f>IF(OR('Blind Review'!$Y$7="Reviewed",'Blind Review'!$Y$7="Failure"),'Blind Review'!$R$7,"")</x:f>
      </x:c>
      <x:c r="R5" s="53" t="str">
        <x:f>IF(AND(OR('Blind Review'!$Y$6="Reviewed",'Blind Review'!$Y$6="Failure"),OR('Blind Review'!$Y$7="Reviewed",'Blind Review'!$Y$7="Failure")),"Complete","Pending")</x:f>
        <x:v>Pending</x:v>
      </x:c>
    </x:row>
    <x:row r="6" ht="30" customHeight="1">
      <x:c r="A6" s="22" t="n">
        <x:v>3</x:v>
      </x:c>
      <x:c r="B6" s="22" t="str">
        <x:v>G003</x:v>
      </x:c>
      <x:c r="C6" s="22" t="str">
        <x:v>MV-HAND-001</x:v>
      </x:c>
      <x:c r="D6" s="22" t="str">
        <x:v>MX</x:v>
      </x:c>
      <x:c r="E6" s="22" t="str">
        <x:v>es-MX</x:v>
      </x:c>
      <x:c r="F6" s="22" t="str">
        <x:v>short_video_script</x:v>
      </x:c>
      <x:c r="G6" s="22" t="str">
        <x:v>G003-A</x:v>
      </x:c>
      <x:c r="H6" s="22" t="str">
        <x:v>G003-B</x:v>
      </x:c>
      <x:c r="I6" s="59" t="str">
        <x:f>IF(OR('Blind Review'!$Y$8="Reviewed",'Blind Review'!$Y$8="Failure"),'Blind Review'!$X$8,"")</x:f>
      </x:c>
      <x:c r="J6" s="59" t="str">
        <x:f>IF(OR('Blind Review'!$Y$9="Reviewed",'Blind Review'!$Y$9="Failure"),'Blind Review'!$X$9,"")</x:f>
      </x:c>
      <x:c r="K6" s="59" t="str">
        <x:f>IF(COUNT(I6:J6)=2,I6-J6,"")</x:f>
      </x:c>
      <x:c r="L6" s="53" t="str">
        <x:f>IF(OR('Blind Review'!$Y$8="Reviewed",'Blind Review'!$Y$8="Failure"),'Blind Review'!$I$8,"")</x:f>
      </x:c>
      <x:c r="M6" s="53" t="str">
        <x:f>IF(OR('Blind Review'!$Y$9="Reviewed",'Blind Review'!$Y$9="Failure"),'Blind Review'!$I$9,"")</x:f>
      </x:c>
      <x:c r="N6" s="53" t="str">
        <x:f>IF(OR('Blind Review'!$Y$8="Reviewed",'Blind Review'!$Y$8="Failure"),'Blind Review'!$Q$8,"")</x:f>
      </x:c>
      <x:c r="O6" s="53" t="str">
        <x:f>IF(OR('Blind Review'!$Y$9="Reviewed",'Blind Review'!$Y$9="Failure"),'Blind Review'!$Q$9,"")</x:f>
      </x:c>
      <x:c r="P6" s="53" t="str">
        <x:f>IF(OR('Blind Review'!$Y$8="Reviewed",'Blind Review'!$Y$8="Failure"),'Blind Review'!$R$8,"")</x:f>
      </x:c>
      <x:c r="Q6" s="53" t="str">
        <x:f>IF(OR('Blind Review'!$Y$9="Reviewed",'Blind Review'!$Y$9="Failure"),'Blind Review'!$R$9,"")</x:f>
      </x:c>
      <x:c r="R6" s="53" t="str">
        <x:f>IF(AND(OR('Blind Review'!$Y$8="Reviewed",'Blind Review'!$Y$8="Failure"),OR('Blind Review'!$Y$9="Reviewed",'Blind Review'!$Y$9="Failure")),"Complete","Pending")</x:f>
        <x:v>Pending</x:v>
      </x:c>
    </x:row>
    <x:row r="7" ht="30" customHeight="1">
      <x:c r="A7" s="22" t="n">
        <x:v>4</x:v>
      </x:c>
      <x:c r="B7" s="22" t="str">
        <x:v>G004</x:v>
      </x:c>
      <x:c r="C7" s="22" t="str">
        <x:v>MV-KIT-001</x:v>
      </x:c>
      <x:c r="D7" s="22" t="str">
        <x:v>MX</x:v>
      </x:c>
      <x:c r="E7" s="22" t="str">
        <x:v>es-MX</x:v>
      </x:c>
      <x:c r="F7" s="22" t="str">
        <x:v>short_video_script</x:v>
      </x:c>
      <x:c r="G7" s="22" t="str">
        <x:v>G004-A</x:v>
      </x:c>
      <x:c r="H7" s="22" t="str">
        <x:v>G004-B</x:v>
      </x:c>
      <x:c r="I7" s="59" t="str">
        <x:f>IF(OR('Blind Review'!$Y$10="Reviewed",'Blind Review'!$Y$10="Failure"),'Blind Review'!$X$10,"")</x:f>
      </x:c>
      <x:c r="J7" s="59" t="str">
        <x:f>IF(OR('Blind Review'!$Y$11="Reviewed",'Blind Review'!$Y$11="Failure"),'Blind Review'!$X$11,"")</x:f>
      </x:c>
      <x:c r="K7" s="59" t="str">
        <x:f>IF(COUNT(I7:J7)=2,I7-J7,"")</x:f>
      </x:c>
      <x:c r="L7" s="53" t="str">
        <x:f>IF(OR('Blind Review'!$Y$10="Reviewed",'Blind Review'!$Y$10="Failure"),'Blind Review'!$I$10,"")</x:f>
      </x:c>
      <x:c r="M7" s="53" t="str">
        <x:f>IF(OR('Blind Review'!$Y$11="Reviewed",'Blind Review'!$Y$11="Failure"),'Blind Review'!$I$11,"")</x:f>
      </x:c>
      <x:c r="N7" s="53" t="str">
        <x:f>IF(OR('Blind Review'!$Y$10="Reviewed",'Blind Review'!$Y$10="Failure"),'Blind Review'!$Q$10,"")</x:f>
      </x:c>
      <x:c r="O7" s="53" t="str">
        <x:f>IF(OR('Blind Review'!$Y$11="Reviewed",'Blind Review'!$Y$11="Failure"),'Blind Review'!$Q$11,"")</x:f>
      </x:c>
      <x:c r="P7" s="53" t="str">
        <x:f>IF(OR('Blind Review'!$Y$10="Reviewed",'Blind Review'!$Y$10="Failure"),'Blind Review'!$R$10,"")</x:f>
      </x:c>
      <x:c r="Q7" s="53" t="str">
        <x:f>IF(OR('Blind Review'!$Y$11="Reviewed",'Blind Review'!$Y$11="Failure"),'Blind Review'!$R$11,"")</x:f>
      </x:c>
      <x:c r="R7" s="53" t="str">
        <x:f>IF(AND(OR('Blind Review'!$Y$10="Reviewed",'Blind Review'!$Y$10="Failure"),OR('Blind Review'!$Y$11="Reviewed",'Blind Review'!$Y$11="Failure")),"Complete","Pending")</x:f>
        <x:v>Pending</x:v>
      </x:c>
    </x:row>
    <x:row r="8" ht="30" customHeight="1">
      <x:c r="A8" s="22" t="n">
        <x:v>5</x:v>
      </x:c>
      <x:c r="B8" s="22" t="str">
        <x:v>G005</x:v>
      </x:c>
      <x:c r="C8" s="22" t="str">
        <x:v>MV-CLEAN-001</x:v>
      </x:c>
      <x:c r="D8" s="22" t="str">
        <x:v>MX</x:v>
      </x:c>
      <x:c r="E8" s="22" t="str">
        <x:v>es-MX</x:v>
      </x:c>
      <x:c r="F8" s="22" t="str">
        <x:v>social_ad_copy</x:v>
      </x:c>
      <x:c r="G8" s="22" t="str">
        <x:v>G005-A</x:v>
      </x:c>
      <x:c r="H8" s="22" t="str">
        <x:v>G005-B</x:v>
      </x:c>
      <x:c r="I8" s="59" t="str">
        <x:f>IF(OR('Blind Review'!$Y$12="Reviewed",'Blind Review'!$Y$12="Failure"),'Blind Review'!$X$12,"")</x:f>
      </x:c>
      <x:c r="J8" s="59" t="str">
        <x:f>IF(OR('Blind Review'!$Y$13="Reviewed",'Blind Review'!$Y$13="Failure"),'Blind Review'!$X$13,"")</x:f>
      </x:c>
      <x:c r="K8" s="59" t="str">
        <x:f>IF(COUNT(I8:J8)=2,I8-J8,"")</x:f>
      </x:c>
      <x:c r="L8" s="53" t="str">
        <x:f>IF(OR('Blind Review'!$Y$12="Reviewed",'Blind Review'!$Y$12="Failure"),'Blind Review'!$I$12,"")</x:f>
      </x:c>
      <x:c r="M8" s="53" t="str">
        <x:f>IF(OR('Blind Review'!$Y$13="Reviewed",'Blind Review'!$Y$13="Failure"),'Blind Review'!$I$13,"")</x:f>
      </x:c>
      <x:c r="N8" s="53" t="str">
        <x:f>IF(OR('Blind Review'!$Y$12="Reviewed",'Blind Review'!$Y$12="Failure"),'Blind Review'!$Q$12,"")</x:f>
      </x:c>
      <x:c r="O8" s="53" t="str">
        <x:f>IF(OR('Blind Review'!$Y$13="Reviewed",'Blind Review'!$Y$13="Failure"),'Blind Review'!$Q$13,"")</x:f>
      </x:c>
      <x:c r="P8" s="53" t="str">
        <x:f>IF(OR('Blind Review'!$Y$12="Reviewed",'Blind Review'!$Y$12="Failure"),'Blind Review'!$R$12,"")</x:f>
      </x:c>
      <x:c r="Q8" s="53" t="str">
        <x:f>IF(OR('Blind Review'!$Y$13="Reviewed",'Blind Review'!$Y$13="Failure"),'Blind Review'!$R$13,"")</x:f>
      </x:c>
      <x:c r="R8" s="53" t="str">
        <x:f>IF(AND(OR('Blind Review'!$Y$12="Reviewed",'Blind Review'!$Y$12="Failure"),OR('Blind Review'!$Y$13="Reviewed",'Blind Review'!$Y$13="Failure")),"Complete","Pending")</x:f>
        <x:v>Pending</x:v>
      </x:c>
    </x:row>
    <x:row r="9" ht="30" customHeight="1">
      <x:c r="A9" s="22" t="n">
        <x:v>6</x:v>
      </x:c>
      <x:c r="B9" s="22" t="str">
        <x:v>G006</x:v>
      </x:c>
      <x:c r="C9" s="22" t="str">
        <x:v>MV-HAND-001</x:v>
      </x:c>
      <x:c r="D9" s="22" t="str">
        <x:v>US</x:v>
      </x:c>
      <x:c r="E9" s="22" t="str">
        <x:v>en-US</x:v>
      </x:c>
      <x:c r="F9" s="22" t="str">
        <x:v>short_video_script</x:v>
      </x:c>
      <x:c r="G9" s="22" t="str">
        <x:v>G006-A</x:v>
      </x:c>
      <x:c r="H9" s="22" t="str">
        <x:v>G006-B</x:v>
      </x:c>
      <x:c r="I9" s="59" t="str">
        <x:f>IF(OR('Blind Review'!$Y$14="Reviewed",'Blind Review'!$Y$14="Failure"),'Blind Review'!$X$14,"")</x:f>
      </x:c>
      <x:c r="J9" s="59" t="str">
        <x:f>IF(OR('Blind Review'!$Y$15="Reviewed",'Blind Review'!$Y$15="Failure"),'Blind Review'!$X$15,"")</x:f>
      </x:c>
      <x:c r="K9" s="59" t="str">
        <x:f>IF(COUNT(I9:J9)=2,I9-J9,"")</x:f>
      </x:c>
      <x:c r="L9" s="53" t="str">
        <x:f>IF(OR('Blind Review'!$Y$14="Reviewed",'Blind Review'!$Y$14="Failure"),'Blind Review'!$I$14,"")</x:f>
      </x:c>
      <x:c r="M9" s="53" t="str">
        <x:f>IF(OR('Blind Review'!$Y$15="Reviewed",'Blind Review'!$Y$15="Failure"),'Blind Review'!$I$15,"")</x:f>
      </x:c>
      <x:c r="N9" s="53" t="str">
        <x:f>IF(OR('Blind Review'!$Y$14="Reviewed",'Blind Review'!$Y$14="Failure"),'Blind Review'!$Q$14,"")</x:f>
      </x:c>
      <x:c r="O9" s="53" t="str">
        <x:f>IF(OR('Blind Review'!$Y$15="Reviewed",'Blind Review'!$Y$15="Failure"),'Blind Review'!$Q$15,"")</x:f>
      </x:c>
      <x:c r="P9" s="53" t="str">
        <x:f>IF(OR('Blind Review'!$Y$14="Reviewed",'Blind Review'!$Y$14="Failure"),'Blind Review'!$R$14,"")</x:f>
      </x:c>
      <x:c r="Q9" s="53" t="str">
        <x:f>IF(OR('Blind Review'!$Y$15="Reviewed",'Blind Review'!$Y$15="Failure"),'Blind Review'!$R$15,"")</x:f>
      </x:c>
      <x:c r="R9" s="53" t="str">
        <x:f>IF(AND(OR('Blind Review'!$Y$14="Reviewed",'Blind Review'!$Y$14="Failure"),OR('Blind Review'!$Y$15="Reviewed",'Blind Review'!$Y$15="Failure")),"Complete","Pending")</x:f>
        <x:v>Pending</x:v>
      </x:c>
    </x:row>
    <x:row r="10" ht="30" customHeight="1">
      <x:c r="A10" s="22" t="n">
        <x:v>7</x:v>
      </x:c>
      <x:c r="B10" s="22" t="str">
        <x:v>G007</x:v>
      </x:c>
      <x:c r="C10" s="22" t="str">
        <x:v>MV-HAND-001</x:v>
      </x:c>
      <x:c r="D10" s="22" t="str">
        <x:v>US</x:v>
      </x:c>
      <x:c r="E10" s="22" t="str">
        <x:v>en-US</x:v>
      </x:c>
      <x:c r="F10" s="22" t="str">
        <x:v>product_listing</x:v>
      </x:c>
      <x:c r="G10" s="22" t="str">
        <x:v>G007-A</x:v>
      </x:c>
      <x:c r="H10" s="22" t="str">
        <x:v>G007-B</x:v>
      </x:c>
      <x:c r="I10" s="59" t="str">
        <x:f>IF(OR('Blind Review'!$Y$16="Reviewed",'Blind Review'!$Y$16="Failure"),'Blind Review'!$X$16,"")</x:f>
      </x:c>
      <x:c r="J10" s="59" t="str">
        <x:f>IF(OR('Blind Review'!$Y$17="Reviewed",'Blind Review'!$Y$17="Failure"),'Blind Review'!$X$17,"")</x:f>
      </x:c>
      <x:c r="K10" s="59" t="str">
        <x:f>IF(COUNT(I10:J10)=2,I10-J10,"")</x:f>
      </x:c>
      <x:c r="L10" s="53" t="str">
        <x:f>IF(OR('Blind Review'!$Y$16="Reviewed",'Blind Review'!$Y$16="Failure"),'Blind Review'!$I$16,"")</x:f>
      </x:c>
      <x:c r="M10" s="53" t="str">
        <x:f>IF(OR('Blind Review'!$Y$17="Reviewed",'Blind Review'!$Y$17="Failure"),'Blind Review'!$I$17,"")</x:f>
      </x:c>
      <x:c r="N10" s="53" t="str">
        <x:f>IF(OR('Blind Review'!$Y$16="Reviewed",'Blind Review'!$Y$16="Failure"),'Blind Review'!$Q$16,"")</x:f>
      </x:c>
      <x:c r="O10" s="53" t="str">
        <x:f>IF(OR('Blind Review'!$Y$17="Reviewed",'Blind Review'!$Y$17="Failure"),'Blind Review'!$Q$17,"")</x:f>
      </x:c>
      <x:c r="P10" s="53" t="str">
        <x:f>IF(OR('Blind Review'!$Y$16="Reviewed",'Blind Review'!$Y$16="Failure"),'Blind Review'!$R$16,"")</x:f>
      </x:c>
      <x:c r="Q10" s="53" t="str">
        <x:f>IF(OR('Blind Review'!$Y$17="Reviewed",'Blind Review'!$Y$17="Failure"),'Blind Review'!$R$17,"")</x:f>
      </x:c>
      <x:c r="R10" s="53" t="str">
        <x:f>IF(AND(OR('Blind Review'!$Y$16="Reviewed",'Blind Review'!$Y$16="Failure"),OR('Blind Review'!$Y$17="Reviewed",'Blind Review'!$Y$17="Failure")),"Complete","Pending")</x:f>
        <x:v>Pending</x:v>
      </x:c>
    </x:row>
    <x:row r="11" ht="30" customHeight="1">
      <x:c r="A11" s="22" t="n">
        <x:v>8</x:v>
      </x:c>
      <x:c r="B11" s="22" t="str">
        <x:v>G008</x:v>
      </x:c>
      <x:c r="C11" s="22" t="str">
        <x:v>MV-CLEAN-001</x:v>
      </x:c>
      <x:c r="D11" s="22" t="str">
        <x:v>MX</x:v>
      </x:c>
      <x:c r="E11" s="22" t="str">
        <x:v>es-MX</x:v>
      </x:c>
      <x:c r="F11" s="22" t="str">
        <x:v>short_video_script</x:v>
      </x:c>
      <x:c r="G11" s="22" t="str">
        <x:v>G008-A</x:v>
      </x:c>
      <x:c r="H11" s="22" t="str">
        <x:v>G008-B</x:v>
      </x:c>
      <x:c r="I11" s="59" t="str">
        <x:f>IF(OR('Blind Review'!$Y$18="Reviewed",'Blind Review'!$Y$18="Failure"),'Blind Review'!$X$18,"")</x:f>
      </x:c>
      <x:c r="J11" s="59" t="str">
        <x:f>IF(OR('Blind Review'!$Y$19="Reviewed",'Blind Review'!$Y$19="Failure"),'Blind Review'!$X$19,"")</x:f>
      </x:c>
      <x:c r="K11" s="59" t="str">
        <x:f>IF(COUNT(I11:J11)=2,I11-J11,"")</x:f>
      </x:c>
      <x:c r="L11" s="53" t="str">
        <x:f>IF(OR('Blind Review'!$Y$18="Reviewed",'Blind Review'!$Y$18="Failure"),'Blind Review'!$I$18,"")</x:f>
      </x:c>
      <x:c r="M11" s="53" t="str">
        <x:f>IF(OR('Blind Review'!$Y$19="Reviewed",'Blind Review'!$Y$19="Failure"),'Blind Review'!$I$19,"")</x:f>
      </x:c>
      <x:c r="N11" s="53" t="str">
        <x:f>IF(OR('Blind Review'!$Y$18="Reviewed",'Blind Review'!$Y$18="Failure"),'Blind Review'!$Q$18,"")</x:f>
      </x:c>
      <x:c r="O11" s="53" t="str">
        <x:f>IF(OR('Blind Review'!$Y$19="Reviewed",'Blind Review'!$Y$19="Failure"),'Blind Review'!$Q$19,"")</x:f>
      </x:c>
      <x:c r="P11" s="53" t="str">
        <x:f>IF(OR('Blind Review'!$Y$18="Reviewed",'Blind Review'!$Y$18="Failure"),'Blind Review'!$R$18,"")</x:f>
      </x:c>
      <x:c r="Q11" s="53" t="str">
        <x:f>IF(OR('Blind Review'!$Y$19="Reviewed",'Blind Review'!$Y$19="Failure"),'Blind Review'!$R$19,"")</x:f>
      </x:c>
      <x:c r="R11" s="53" t="str">
        <x:f>IF(AND(OR('Blind Review'!$Y$18="Reviewed",'Blind Review'!$Y$18="Failure"),OR('Blind Review'!$Y$19="Reviewed",'Blind Review'!$Y$19="Failure")),"Complete","Pending")</x:f>
        <x:v>Pending</x:v>
      </x:c>
    </x:row>
    <x:row r="12" ht="30" customHeight="1">
      <x:c r="A12" s="22" t="n">
        <x:v>9</x:v>
      </x:c>
      <x:c r="B12" s="22" t="str">
        <x:v>G009</x:v>
      </x:c>
      <x:c r="C12" s="22" t="str">
        <x:v>MV-KIT-001</x:v>
      </x:c>
      <x:c r="D12" s="22" t="str">
        <x:v>US</x:v>
      </x:c>
      <x:c r="E12" s="22" t="str">
        <x:v>en-US</x:v>
      </x:c>
      <x:c r="F12" s="22" t="str">
        <x:v>short_video_script</x:v>
      </x:c>
      <x:c r="G12" s="22" t="str">
        <x:v>G009-A</x:v>
      </x:c>
      <x:c r="H12" s="22" t="str">
        <x:v>G009-B</x:v>
      </x:c>
      <x:c r="I12" s="59" t="str">
        <x:f>IF(OR('Blind Review'!$Y$20="Reviewed",'Blind Review'!$Y$20="Failure"),'Blind Review'!$X$20,"")</x:f>
      </x:c>
      <x:c r="J12" s="59" t="str">
        <x:f>IF(OR('Blind Review'!$Y$21="Reviewed",'Blind Review'!$Y$21="Failure"),'Blind Review'!$X$21,"")</x:f>
      </x:c>
      <x:c r="K12" s="59" t="str">
        <x:f>IF(COUNT(I12:J12)=2,I12-J12,"")</x:f>
      </x:c>
      <x:c r="L12" s="53" t="str">
        <x:f>IF(OR('Blind Review'!$Y$20="Reviewed",'Blind Review'!$Y$20="Failure"),'Blind Review'!$I$20,"")</x:f>
      </x:c>
      <x:c r="M12" s="53" t="str">
        <x:f>IF(OR('Blind Review'!$Y$21="Reviewed",'Blind Review'!$Y$21="Failure"),'Blind Review'!$I$21,"")</x:f>
      </x:c>
      <x:c r="N12" s="53" t="str">
        <x:f>IF(OR('Blind Review'!$Y$20="Reviewed",'Blind Review'!$Y$20="Failure"),'Blind Review'!$Q$20,"")</x:f>
      </x:c>
      <x:c r="O12" s="53" t="str">
        <x:f>IF(OR('Blind Review'!$Y$21="Reviewed",'Blind Review'!$Y$21="Failure"),'Blind Review'!$Q$21,"")</x:f>
      </x:c>
      <x:c r="P12" s="53" t="str">
        <x:f>IF(OR('Blind Review'!$Y$20="Reviewed",'Blind Review'!$Y$20="Failure"),'Blind Review'!$R$20,"")</x:f>
      </x:c>
      <x:c r="Q12" s="53" t="str">
        <x:f>IF(OR('Blind Review'!$Y$21="Reviewed",'Blind Review'!$Y$21="Failure"),'Blind Review'!$R$21,"")</x:f>
      </x:c>
      <x:c r="R12" s="53" t="str">
        <x:f>IF(AND(OR('Blind Review'!$Y$20="Reviewed",'Blind Review'!$Y$20="Failure"),OR('Blind Review'!$Y$21="Reviewed",'Blind Review'!$Y$21="Failure")),"Complete","Pending")</x:f>
        <x:v>Pending</x:v>
      </x:c>
    </x:row>
    <x:row r="13" ht="30" customHeight="1">
      <x:c r="A13" s="22" t="n">
        <x:v>10</x:v>
      </x:c>
      <x:c r="B13" s="22" t="str">
        <x:v>G010</x:v>
      </x:c>
      <x:c r="C13" s="22" t="str">
        <x:v>MV-SERUM-001</x:v>
      </x:c>
      <x:c r="D13" s="22" t="str">
        <x:v>US</x:v>
      </x:c>
      <x:c r="E13" s="22" t="str">
        <x:v>en-US</x:v>
      </x:c>
      <x:c r="F13" s="22" t="str">
        <x:v>short_video_script</x:v>
      </x:c>
      <x:c r="G13" s="22" t="str">
        <x:v>G010-A</x:v>
      </x:c>
      <x:c r="H13" s="22" t="str">
        <x:v>G010-B</x:v>
      </x:c>
      <x:c r="I13" s="59" t="str">
        <x:f>IF(OR('Blind Review'!$Y$22="Reviewed",'Blind Review'!$Y$22="Failure"),'Blind Review'!$X$22,"")</x:f>
      </x:c>
      <x:c r="J13" s="59" t="str">
        <x:f>IF(OR('Blind Review'!$Y$23="Reviewed",'Blind Review'!$Y$23="Failure"),'Blind Review'!$X$23,"")</x:f>
      </x:c>
      <x:c r="K13" s="59" t="str">
        <x:f>IF(COUNT(I13:J13)=2,I13-J13,"")</x:f>
      </x:c>
      <x:c r="L13" s="53" t="str">
        <x:f>IF(OR('Blind Review'!$Y$22="Reviewed",'Blind Review'!$Y$22="Failure"),'Blind Review'!$I$22,"")</x:f>
      </x:c>
      <x:c r="M13" s="53" t="str">
        <x:f>IF(OR('Blind Review'!$Y$23="Reviewed",'Blind Review'!$Y$23="Failure"),'Blind Review'!$I$23,"")</x:f>
      </x:c>
      <x:c r="N13" s="53" t="str">
        <x:f>IF(OR('Blind Review'!$Y$22="Reviewed",'Blind Review'!$Y$22="Failure"),'Blind Review'!$Q$22,"")</x:f>
      </x:c>
      <x:c r="O13" s="53" t="str">
        <x:f>IF(OR('Blind Review'!$Y$23="Reviewed",'Blind Review'!$Y$23="Failure"),'Blind Review'!$Q$23,"")</x:f>
      </x:c>
      <x:c r="P13" s="53" t="str">
        <x:f>IF(OR('Blind Review'!$Y$22="Reviewed",'Blind Review'!$Y$22="Failure"),'Blind Review'!$R$22,"")</x:f>
      </x:c>
      <x:c r="Q13" s="53" t="str">
        <x:f>IF(OR('Blind Review'!$Y$23="Reviewed",'Blind Review'!$Y$23="Failure"),'Blind Review'!$R$23,"")</x:f>
      </x:c>
      <x:c r="R13" s="53" t="str">
        <x:f>IF(AND(OR('Blind Review'!$Y$22="Reviewed",'Blind Review'!$Y$22="Failure"),OR('Blind Review'!$Y$23="Reviewed",'Blind Review'!$Y$23="Failure")),"Complete","Pending")</x:f>
        <x:v>Pending</x:v>
      </x:c>
    </x:row>
    <x:row r="14" ht="30" customHeight="1">
      <x:c r="A14" s="22" t="n">
        <x:v>11</x:v>
      </x:c>
      <x:c r="B14" s="22" t="str">
        <x:v>G011</x:v>
      </x:c>
      <x:c r="C14" s="22" t="str">
        <x:v>MV-CREAM-001</x:v>
      </x:c>
      <x:c r="D14" s="22" t="str">
        <x:v>MX</x:v>
      </x:c>
      <x:c r="E14" s="22" t="str">
        <x:v>es-MX</x:v>
      </x:c>
      <x:c r="F14" s="22" t="str">
        <x:v>social_ad_copy</x:v>
      </x:c>
      <x:c r="G14" s="22" t="str">
        <x:v>G011-A</x:v>
      </x:c>
      <x:c r="H14" s="22" t="str">
        <x:v>G011-B</x:v>
      </x:c>
      <x:c r="I14" s="59" t="str">
        <x:f>IF(OR('Blind Review'!$Y$24="Reviewed",'Blind Review'!$Y$24="Failure"),'Blind Review'!$X$24,"")</x:f>
      </x:c>
      <x:c r="J14" s="59" t="str">
        <x:f>IF(OR('Blind Review'!$Y$25="Reviewed",'Blind Review'!$Y$25="Failure"),'Blind Review'!$X$25,"")</x:f>
      </x:c>
      <x:c r="K14" s="59" t="str">
        <x:f>IF(COUNT(I14:J14)=2,I14-J14,"")</x:f>
      </x:c>
      <x:c r="L14" s="53" t="str">
        <x:f>IF(OR('Blind Review'!$Y$24="Reviewed",'Blind Review'!$Y$24="Failure"),'Blind Review'!$I$24,"")</x:f>
      </x:c>
      <x:c r="M14" s="53" t="str">
        <x:f>IF(OR('Blind Review'!$Y$25="Reviewed",'Blind Review'!$Y$25="Failure"),'Blind Review'!$I$25,"")</x:f>
      </x:c>
      <x:c r="N14" s="53" t="str">
        <x:f>IF(OR('Blind Review'!$Y$24="Reviewed",'Blind Review'!$Y$24="Failure"),'Blind Review'!$Q$24,"")</x:f>
      </x:c>
      <x:c r="O14" s="53" t="str">
        <x:f>IF(OR('Blind Review'!$Y$25="Reviewed",'Blind Review'!$Y$25="Failure"),'Blind Review'!$Q$25,"")</x:f>
      </x:c>
      <x:c r="P14" s="53" t="str">
        <x:f>IF(OR('Blind Review'!$Y$24="Reviewed",'Blind Review'!$Y$24="Failure"),'Blind Review'!$R$24,"")</x:f>
      </x:c>
      <x:c r="Q14" s="53" t="str">
        <x:f>IF(OR('Blind Review'!$Y$25="Reviewed",'Blind Review'!$Y$25="Failure"),'Blind Review'!$R$25,"")</x:f>
      </x:c>
      <x:c r="R14" s="53" t="str">
        <x:f>IF(AND(OR('Blind Review'!$Y$24="Reviewed",'Blind Review'!$Y$24="Failure"),OR('Blind Review'!$Y$25="Reviewed",'Blind Review'!$Y$25="Failure")),"Complete","Pending")</x:f>
        <x:v>Pending</x:v>
      </x:c>
    </x:row>
    <x:row r="15" ht="30" customHeight="1">
      <x:c r="A15" s="22" t="n">
        <x:v>12</x:v>
      </x:c>
      <x:c r="B15" s="22" t="str">
        <x:v>G012</x:v>
      </x:c>
      <x:c r="C15" s="22" t="str">
        <x:v>MV-CREAM-001</x:v>
      </x:c>
      <x:c r="D15" s="22" t="str">
        <x:v>MX</x:v>
      </x:c>
      <x:c r="E15" s="22" t="str">
        <x:v>es-MX</x:v>
      </x:c>
      <x:c r="F15" s="22" t="str">
        <x:v>short_video_script</x:v>
      </x:c>
      <x:c r="G15" s="22" t="str">
        <x:v>G012-A</x:v>
      </x:c>
      <x:c r="H15" s="22" t="str">
        <x:v>G012-B</x:v>
      </x:c>
      <x:c r="I15" s="59" t="str">
        <x:f>IF(OR('Blind Review'!$Y$26="Reviewed",'Blind Review'!$Y$26="Failure"),'Blind Review'!$X$26,"")</x:f>
      </x:c>
      <x:c r="J15" s="59" t="str">
        <x:f>IF(OR('Blind Review'!$Y$27="Reviewed",'Blind Review'!$Y$27="Failure"),'Blind Review'!$X$27,"")</x:f>
      </x:c>
      <x:c r="K15" s="59" t="str">
        <x:f>IF(COUNT(I15:J15)=2,I15-J15,"")</x:f>
      </x:c>
      <x:c r="L15" s="53" t="str">
        <x:f>IF(OR('Blind Review'!$Y$26="Reviewed",'Blind Review'!$Y$26="Failure"),'Blind Review'!$I$26,"")</x:f>
      </x:c>
      <x:c r="M15" s="53" t="str">
        <x:f>IF(OR('Blind Review'!$Y$27="Reviewed",'Blind Review'!$Y$27="Failure"),'Blind Review'!$I$27,"")</x:f>
      </x:c>
      <x:c r="N15" s="53" t="str">
        <x:f>IF(OR('Blind Review'!$Y$26="Reviewed",'Blind Review'!$Y$26="Failure"),'Blind Review'!$Q$26,"")</x:f>
      </x:c>
      <x:c r="O15" s="53" t="str">
        <x:f>IF(OR('Blind Review'!$Y$27="Reviewed",'Blind Review'!$Y$27="Failure"),'Blind Review'!$Q$27,"")</x:f>
      </x:c>
      <x:c r="P15" s="53" t="str">
        <x:f>IF(OR('Blind Review'!$Y$26="Reviewed",'Blind Review'!$Y$26="Failure"),'Blind Review'!$R$26,"")</x:f>
      </x:c>
      <x:c r="Q15" s="53" t="str">
        <x:f>IF(OR('Blind Review'!$Y$27="Reviewed",'Blind Review'!$Y$27="Failure"),'Blind Review'!$R$27,"")</x:f>
      </x:c>
      <x:c r="R15" s="53" t="str">
        <x:f>IF(AND(OR('Blind Review'!$Y$26="Reviewed",'Blind Review'!$Y$26="Failure"),OR('Blind Review'!$Y$27="Reviewed",'Blind Review'!$Y$27="Failure")),"Complete","Pending")</x:f>
        <x:v>Pending</x:v>
      </x:c>
    </x:row>
    <x:row r="16" ht="30" customHeight="1">
      <x:c r="A16" s="22" t="n">
        <x:v>13</x:v>
      </x:c>
      <x:c r="B16" s="22" t="str">
        <x:v>G013</x:v>
      </x:c>
      <x:c r="C16" s="22" t="str">
        <x:v>MV-CLEAN-001</x:v>
      </x:c>
      <x:c r="D16" s="22" t="str">
        <x:v>US</x:v>
      </x:c>
      <x:c r="E16" s="22" t="str">
        <x:v>en-US</x:v>
      </x:c>
      <x:c r="F16" s="22" t="str">
        <x:v>short_video_script</x:v>
      </x:c>
      <x:c r="G16" s="22" t="str">
        <x:v>G013-A</x:v>
      </x:c>
      <x:c r="H16" s="22" t="str">
        <x:v>G013-B</x:v>
      </x:c>
      <x:c r="I16" s="59" t="str">
        <x:f>IF(OR('Blind Review'!$Y$28="Reviewed",'Blind Review'!$Y$28="Failure"),'Blind Review'!$X$28,"")</x:f>
      </x:c>
      <x:c r="J16" s="59" t="str">
        <x:f>IF(OR('Blind Review'!$Y$29="Reviewed",'Blind Review'!$Y$29="Failure"),'Blind Review'!$X$29,"")</x:f>
      </x:c>
      <x:c r="K16" s="59" t="str">
        <x:f>IF(COUNT(I16:J16)=2,I16-J16,"")</x:f>
      </x:c>
      <x:c r="L16" s="53" t="str">
        <x:f>IF(OR('Blind Review'!$Y$28="Reviewed",'Blind Review'!$Y$28="Failure"),'Blind Review'!$I$28,"")</x:f>
      </x:c>
      <x:c r="M16" s="53" t="str">
        <x:f>IF(OR('Blind Review'!$Y$29="Reviewed",'Blind Review'!$Y$29="Failure"),'Blind Review'!$I$29,"")</x:f>
      </x:c>
      <x:c r="N16" s="53" t="str">
        <x:f>IF(OR('Blind Review'!$Y$28="Reviewed",'Blind Review'!$Y$28="Failure"),'Blind Review'!$Q$28,"")</x:f>
      </x:c>
      <x:c r="O16" s="53" t="str">
        <x:f>IF(OR('Blind Review'!$Y$29="Reviewed",'Blind Review'!$Y$29="Failure"),'Blind Review'!$Q$29,"")</x:f>
      </x:c>
      <x:c r="P16" s="53" t="str">
        <x:f>IF(OR('Blind Review'!$Y$28="Reviewed",'Blind Review'!$Y$28="Failure"),'Blind Review'!$R$28,"")</x:f>
      </x:c>
      <x:c r="Q16" s="53" t="str">
        <x:f>IF(OR('Blind Review'!$Y$29="Reviewed",'Blind Review'!$Y$29="Failure"),'Blind Review'!$R$29,"")</x:f>
      </x:c>
      <x:c r="R16" s="53" t="str">
        <x:f>IF(AND(OR('Blind Review'!$Y$28="Reviewed",'Blind Review'!$Y$28="Failure"),OR('Blind Review'!$Y$29="Reviewed",'Blind Review'!$Y$29="Failure")),"Complete","Pending")</x:f>
        <x:v>Pending</x:v>
      </x:c>
    </x:row>
    <x:row r="17" ht="30" customHeight="1">
      <x:c r="A17" s="22" t="n">
        <x:v>14</x:v>
      </x:c>
      <x:c r="B17" s="22" t="str">
        <x:v>G014</x:v>
      </x:c>
      <x:c r="C17" s="22" t="str">
        <x:v>MV-SERUM-001</x:v>
      </x:c>
      <x:c r="D17" s="22" t="str">
        <x:v>MX</x:v>
      </x:c>
      <x:c r="E17" s="22" t="str">
        <x:v>es-MX</x:v>
      </x:c>
      <x:c r="F17" s="22" t="str">
        <x:v>social_ad_copy</x:v>
      </x:c>
      <x:c r="G17" s="22" t="str">
        <x:v>G014-A</x:v>
      </x:c>
      <x:c r="H17" s="22" t="str">
        <x:v>G014-B</x:v>
      </x:c>
      <x:c r="I17" s="59" t="str">
        <x:f>IF(OR('Blind Review'!$Y$30="Reviewed",'Blind Review'!$Y$30="Failure"),'Blind Review'!$X$30,"")</x:f>
      </x:c>
      <x:c r="J17" s="59" t="str">
        <x:f>IF(OR('Blind Review'!$Y$31="Reviewed",'Blind Review'!$Y$31="Failure"),'Blind Review'!$X$31,"")</x:f>
      </x:c>
      <x:c r="K17" s="59" t="str">
        <x:f>IF(COUNT(I17:J17)=2,I17-J17,"")</x:f>
      </x:c>
      <x:c r="L17" s="53" t="str">
        <x:f>IF(OR('Blind Review'!$Y$30="Reviewed",'Blind Review'!$Y$30="Failure"),'Blind Review'!$I$30,"")</x:f>
      </x:c>
      <x:c r="M17" s="53" t="str">
        <x:f>IF(OR('Blind Review'!$Y$31="Reviewed",'Blind Review'!$Y$31="Failure"),'Blind Review'!$I$31,"")</x:f>
      </x:c>
      <x:c r="N17" s="53" t="str">
        <x:f>IF(OR('Blind Review'!$Y$30="Reviewed",'Blind Review'!$Y$30="Failure"),'Blind Review'!$Q$30,"")</x:f>
      </x:c>
      <x:c r="O17" s="53" t="str">
        <x:f>IF(OR('Blind Review'!$Y$31="Reviewed",'Blind Review'!$Y$31="Failure"),'Blind Review'!$Q$31,"")</x:f>
      </x:c>
      <x:c r="P17" s="53" t="str">
        <x:f>IF(OR('Blind Review'!$Y$30="Reviewed",'Blind Review'!$Y$30="Failure"),'Blind Review'!$R$30,"")</x:f>
      </x:c>
      <x:c r="Q17" s="53" t="str">
        <x:f>IF(OR('Blind Review'!$Y$31="Reviewed",'Blind Review'!$Y$31="Failure"),'Blind Review'!$R$31,"")</x:f>
      </x:c>
      <x:c r="R17" s="53" t="str">
        <x:f>IF(AND(OR('Blind Review'!$Y$30="Reviewed",'Blind Review'!$Y$30="Failure"),OR('Blind Review'!$Y$31="Reviewed",'Blind Review'!$Y$31="Failure")),"Complete","Pending")</x:f>
        <x:v>Pending</x:v>
      </x:c>
    </x:row>
    <x:row r="18" ht="30" customHeight="1">
      <x:c r="A18" s="22" t="n">
        <x:v>15</x:v>
      </x:c>
      <x:c r="B18" s="22" t="str">
        <x:v>G015</x:v>
      </x:c>
      <x:c r="C18" s="22" t="str">
        <x:v>MV-KIT-001</x:v>
      </x:c>
      <x:c r="D18" s="22" t="str">
        <x:v>MX</x:v>
      </x:c>
      <x:c r="E18" s="22" t="str">
        <x:v>es-MX</x:v>
      </x:c>
      <x:c r="F18" s="22" t="str">
        <x:v>product_listing</x:v>
      </x:c>
      <x:c r="G18" s="22" t="str">
        <x:v>G015-A</x:v>
      </x:c>
      <x:c r="H18" s="22" t="str">
        <x:v>G015-B</x:v>
      </x:c>
      <x:c r="I18" s="59" t="str">
        <x:f>IF(OR('Blind Review'!$Y$32="Reviewed",'Blind Review'!$Y$32="Failure"),'Blind Review'!$X$32,"")</x:f>
      </x:c>
      <x:c r="J18" s="59" t="str">
        <x:f>IF(OR('Blind Review'!$Y$33="Reviewed",'Blind Review'!$Y$33="Failure"),'Blind Review'!$X$33,"")</x:f>
      </x:c>
      <x:c r="K18" s="59" t="str">
        <x:f>IF(COUNT(I18:J18)=2,I18-J18,"")</x:f>
      </x:c>
      <x:c r="L18" s="53" t="str">
        <x:f>IF(OR('Blind Review'!$Y$32="Reviewed",'Blind Review'!$Y$32="Failure"),'Blind Review'!$I$32,"")</x:f>
      </x:c>
      <x:c r="M18" s="53" t="str">
        <x:f>IF(OR('Blind Review'!$Y$33="Reviewed",'Blind Review'!$Y$33="Failure"),'Blind Review'!$I$33,"")</x:f>
      </x:c>
      <x:c r="N18" s="53" t="str">
        <x:f>IF(OR('Blind Review'!$Y$32="Reviewed",'Blind Review'!$Y$32="Failure"),'Blind Review'!$Q$32,"")</x:f>
      </x:c>
      <x:c r="O18" s="53" t="str">
        <x:f>IF(OR('Blind Review'!$Y$33="Reviewed",'Blind Review'!$Y$33="Failure"),'Blind Review'!$Q$33,"")</x:f>
      </x:c>
      <x:c r="P18" s="53" t="str">
        <x:f>IF(OR('Blind Review'!$Y$32="Reviewed",'Blind Review'!$Y$32="Failure"),'Blind Review'!$R$32,"")</x:f>
      </x:c>
      <x:c r="Q18" s="53" t="str">
        <x:f>IF(OR('Blind Review'!$Y$33="Reviewed",'Blind Review'!$Y$33="Failure"),'Blind Review'!$R$33,"")</x:f>
      </x:c>
      <x:c r="R18" s="53" t="str">
        <x:f>IF(AND(OR('Blind Review'!$Y$32="Reviewed",'Blind Review'!$Y$32="Failure"),OR('Blind Review'!$Y$33="Reviewed",'Blind Review'!$Y$33="Failure")),"Complete","Pending")</x:f>
        <x:v>Pending</x:v>
      </x:c>
    </x:row>
    <x:row r="19" ht="30" customHeight="1">
      <x:c r="A19" s="22" t="n">
        <x:v>16</x:v>
      </x:c>
      <x:c r="B19" s="22" t="str">
        <x:v>G016</x:v>
      </x:c>
      <x:c r="C19" s="22" t="str">
        <x:v>MV-KIT-001</x:v>
      </x:c>
      <x:c r="D19" s="22" t="str">
        <x:v>US</x:v>
      </x:c>
      <x:c r="E19" s="22" t="str">
        <x:v>en-US</x:v>
      </x:c>
      <x:c r="F19" s="22" t="str">
        <x:v>product_listing</x:v>
      </x:c>
      <x:c r="G19" s="22" t="str">
        <x:v>G016-A</x:v>
      </x:c>
      <x:c r="H19" s="22" t="str">
        <x:v>G016-B</x:v>
      </x:c>
      <x:c r="I19" s="59" t="str">
        <x:f>IF(OR('Blind Review'!$Y$34="Reviewed",'Blind Review'!$Y$34="Failure"),'Blind Review'!$X$34,"")</x:f>
      </x:c>
      <x:c r="J19" s="59" t="str">
        <x:f>IF(OR('Blind Review'!$Y$35="Reviewed",'Blind Review'!$Y$35="Failure"),'Blind Review'!$X$35,"")</x:f>
      </x:c>
      <x:c r="K19" s="59" t="str">
        <x:f>IF(COUNT(I19:J19)=2,I19-J19,"")</x:f>
      </x:c>
      <x:c r="L19" s="53" t="str">
        <x:f>IF(OR('Blind Review'!$Y$34="Reviewed",'Blind Review'!$Y$34="Failure"),'Blind Review'!$I$34,"")</x:f>
      </x:c>
      <x:c r="M19" s="53" t="str">
        <x:f>IF(OR('Blind Review'!$Y$35="Reviewed",'Blind Review'!$Y$35="Failure"),'Blind Review'!$I$35,"")</x:f>
      </x:c>
      <x:c r="N19" s="53" t="str">
        <x:f>IF(OR('Blind Review'!$Y$34="Reviewed",'Blind Review'!$Y$34="Failure"),'Blind Review'!$Q$34,"")</x:f>
      </x:c>
      <x:c r="O19" s="53" t="str">
        <x:f>IF(OR('Blind Review'!$Y$35="Reviewed",'Blind Review'!$Y$35="Failure"),'Blind Review'!$Q$35,"")</x:f>
      </x:c>
      <x:c r="P19" s="53" t="str">
        <x:f>IF(OR('Blind Review'!$Y$34="Reviewed",'Blind Review'!$Y$34="Failure"),'Blind Review'!$R$34,"")</x:f>
      </x:c>
      <x:c r="Q19" s="53" t="str">
        <x:f>IF(OR('Blind Review'!$Y$35="Reviewed",'Blind Review'!$Y$35="Failure"),'Blind Review'!$R$35,"")</x:f>
      </x:c>
      <x:c r="R19" s="53" t="str">
        <x:f>IF(AND(OR('Blind Review'!$Y$34="Reviewed",'Blind Review'!$Y$34="Failure"),OR('Blind Review'!$Y$35="Reviewed",'Blind Review'!$Y$35="Failure")),"Complete","Pending")</x:f>
        <x:v>Pending</x:v>
      </x:c>
    </x:row>
    <x:row r="20" ht="30" customHeight="1">
      <x:c r="A20" s="22" t="n">
        <x:v>17</x:v>
      </x:c>
      <x:c r="B20" s="22" t="str">
        <x:v>G017</x:v>
      </x:c>
      <x:c r="C20" s="22" t="str">
        <x:v>MV-CREAM-001</x:v>
      </x:c>
      <x:c r="D20" s="22" t="str">
        <x:v>US</x:v>
      </x:c>
      <x:c r="E20" s="22" t="str">
        <x:v>en-US</x:v>
      </x:c>
      <x:c r="F20" s="22" t="str">
        <x:v>product_listing</x:v>
      </x:c>
      <x:c r="G20" s="22" t="str">
        <x:v>G017-A</x:v>
      </x:c>
      <x:c r="H20" s="22" t="str">
        <x:v>G017-B</x:v>
      </x:c>
      <x:c r="I20" s="59" t="str">
        <x:f>IF(OR('Blind Review'!$Y$36="Reviewed",'Blind Review'!$Y$36="Failure"),'Blind Review'!$X$36,"")</x:f>
      </x:c>
      <x:c r="J20" s="59" t="str">
        <x:f>IF(OR('Blind Review'!$Y$37="Reviewed",'Blind Review'!$Y$37="Failure"),'Blind Review'!$X$37,"")</x:f>
      </x:c>
      <x:c r="K20" s="59" t="str">
        <x:f>IF(COUNT(I20:J20)=2,I20-J20,"")</x:f>
      </x:c>
      <x:c r="L20" s="53" t="str">
        <x:f>IF(OR('Blind Review'!$Y$36="Reviewed",'Blind Review'!$Y$36="Failure"),'Blind Review'!$I$36,"")</x:f>
      </x:c>
      <x:c r="M20" s="53" t="str">
        <x:f>IF(OR('Blind Review'!$Y$37="Reviewed",'Blind Review'!$Y$37="Failure"),'Blind Review'!$I$37,"")</x:f>
      </x:c>
      <x:c r="N20" s="53" t="str">
        <x:f>IF(OR('Blind Review'!$Y$36="Reviewed",'Blind Review'!$Y$36="Failure"),'Blind Review'!$Q$36,"")</x:f>
      </x:c>
      <x:c r="O20" s="53" t="str">
        <x:f>IF(OR('Blind Review'!$Y$37="Reviewed",'Blind Review'!$Y$37="Failure"),'Blind Review'!$Q$37,"")</x:f>
      </x:c>
      <x:c r="P20" s="53" t="str">
        <x:f>IF(OR('Blind Review'!$Y$36="Reviewed",'Blind Review'!$Y$36="Failure"),'Blind Review'!$R$36,"")</x:f>
      </x:c>
      <x:c r="Q20" s="53" t="str">
        <x:f>IF(OR('Blind Review'!$Y$37="Reviewed",'Blind Review'!$Y$37="Failure"),'Blind Review'!$R$37,"")</x:f>
      </x:c>
      <x:c r="R20" s="53" t="str">
        <x:f>IF(AND(OR('Blind Review'!$Y$36="Reviewed",'Blind Review'!$Y$36="Failure"),OR('Blind Review'!$Y$37="Reviewed",'Blind Review'!$Y$37="Failure")),"Complete","Pending")</x:f>
        <x:v>Pending</x:v>
      </x:c>
    </x:row>
    <x:row r="21" ht="30" customHeight="1">
      <x:c r="A21" s="22" t="n">
        <x:v>18</x:v>
      </x:c>
      <x:c r="B21" s="22" t="str">
        <x:v>G018</x:v>
      </x:c>
      <x:c r="C21" s="22" t="str">
        <x:v>MV-SERUM-001</x:v>
      </x:c>
      <x:c r="D21" s="22" t="str">
        <x:v>US</x:v>
      </x:c>
      <x:c r="E21" s="22" t="str">
        <x:v>en-US</x:v>
      </x:c>
      <x:c r="F21" s="22" t="str">
        <x:v>product_listing</x:v>
      </x:c>
      <x:c r="G21" s="22" t="str">
        <x:v>G018-A</x:v>
      </x:c>
      <x:c r="H21" s="22" t="str">
        <x:v>G018-B</x:v>
      </x:c>
      <x:c r="I21" s="59" t="str">
        <x:f>IF(OR('Blind Review'!$Y$38="Reviewed",'Blind Review'!$Y$38="Failure"),'Blind Review'!$X$38,"")</x:f>
      </x:c>
      <x:c r="J21" s="59" t="str">
        <x:f>IF(OR('Blind Review'!$Y$39="Reviewed",'Blind Review'!$Y$39="Failure"),'Blind Review'!$X$39,"")</x:f>
      </x:c>
      <x:c r="K21" s="59" t="str">
        <x:f>IF(COUNT(I21:J21)=2,I21-J21,"")</x:f>
      </x:c>
      <x:c r="L21" s="53" t="str">
        <x:f>IF(OR('Blind Review'!$Y$38="Reviewed",'Blind Review'!$Y$38="Failure"),'Blind Review'!$I$38,"")</x:f>
      </x:c>
      <x:c r="M21" s="53" t="str">
        <x:f>IF(OR('Blind Review'!$Y$39="Reviewed",'Blind Review'!$Y$39="Failure"),'Blind Review'!$I$39,"")</x:f>
      </x:c>
      <x:c r="N21" s="53" t="str">
        <x:f>IF(OR('Blind Review'!$Y$38="Reviewed",'Blind Review'!$Y$38="Failure"),'Blind Review'!$Q$38,"")</x:f>
      </x:c>
      <x:c r="O21" s="53" t="str">
        <x:f>IF(OR('Blind Review'!$Y$39="Reviewed",'Blind Review'!$Y$39="Failure"),'Blind Review'!$Q$39,"")</x:f>
      </x:c>
      <x:c r="P21" s="53" t="str">
        <x:f>IF(OR('Blind Review'!$Y$38="Reviewed",'Blind Review'!$Y$38="Failure"),'Blind Review'!$R$38,"")</x:f>
      </x:c>
      <x:c r="Q21" s="53" t="str">
        <x:f>IF(OR('Blind Review'!$Y$39="Reviewed",'Blind Review'!$Y$39="Failure"),'Blind Review'!$R$39,"")</x:f>
      </x:c>
      <x:c r="R21" s="53" t="str">
        <x:f>IF(AND(OR('Blind Review'!$Y$38="Reviewed",'Blind Review'!$Y$38="Failure"),OR('Blind Review'!$Y$39="Reviewed",'Blind Review'!$Y$39="Failure")),"Complete","Pending")</x:f>
        <x:v>Pending</x:v>
      </x:c>
    </x:row>
    <x:row r="22" ht="30" customHeight="1">
      <x:c r="A22" s="22" t="n">
        <x:v>19</x:v>
      </x:c>
      <x:c r="B22" s="22" t="str">
        <x:v>G019</x:v>
      </x:c>
      <x:c r="C22" s="22" t="str">
        <x:v>MV-HAND-001</x:v>
      </x:c>
      <x:c r="D22" s="22" t="str">
        <x:v>US</x:v>
      </x:c>
      <x:c r="E22" s="22" t="str">
        <x:v>en-US</x:v>
      </x:c>
      <x:c r="F22" s="22" t="str">
        <x:v>social_ad_copy</x:v>
      </x:c>
      <x:c r="G22" s="22" t="str">
        <x:v>G019-A</x:v>
      </x:c>
      <x:c r="H22" s="22" t="str">
        <x:v>G019-B</x:v>
      </x:c>
      <x:c r="I22" s="59" t="str">
        <x:f>IF(OR('Blind Review'!$Y$40="Reviewed",'Blind Review'!$Y$40="Failure"),'Blind Review'!$X$40,"")</x:f>
      </x:c>
      <x:c r="J22" s="59" t="str">
        <x:f>IF(OR('Blind Review'!$Y$41="Reviewed",'Blind Review'!$Y$41="Failure"),'Blind Review'!$X$41,"")</x:f>
      </x:c>
      <x:c r="K22" s="59" t="str">
        <x:f>IF(COUNT(I22:J22)=2,I22-J22,"")</x:f>
      </x:c>
      <x:c r="L22" s="53" t="str">
        <x:f>IF(OR('Blind Review'!$Y$40="Reviewed",'Blind Review'!$Y$40="Failure"),'Blind Review'!$I$40,"")</x:f>
      </x:c>
      <x:c r="M22" s="53" t="str">
        <x:f>IF(OR('Blind Review'!$Y$41="Reviewed",'Blind Review'!$Y$41="Failure"),'Blind Review'!$I$41,"")</x:f>
      </x:c>
      <x:c r="N22" s="53" t="str">
        <x:f>IF(OR('Blind Review'!$Y$40="Reviewed",'Blind Review'!$Y$40="Failure"),'Blind Review'!$Q$40,"")</x:f>
      </x:c>
      <x:c r="O22" s="53" t="str">
        <x:f>IF(OR('Blind Review'!$Y$41="Reviewed",'Blind Review'!$Y$41="Failure"),'Blind Review'!$Q$41,"")</x:f>
      </x:c>
      <x:c r="P22" s="53" t="str">
        <x:f>IF(OR('Blind Review'!$Y$40="Reviewed",'Blind Review'!$Y$40="Failure"),'Blind Review'!$R$40,"")</x:f>
      </x:c>
      <x:c r="Q22" s="53" t="str">
        <x:f>IF(OR('Blind Review'!$Y$41="Reviewed",'Blind Review'!$Y$41="Failure"),'Blind Review'!$R$41,"")</x:f>
      </x:c>
      <x:c r="R22" s="53" t="str">
        <x:f>IF(AND(OR('Blind Review'!$Y$40="Reviewed",'Blind Review'!$Y$40="Failure"),OR('Blind Review'!$Y$41="Reviewed",'Blind Review'!$Y$41="Failure")),"Complete","Pending")</x:f>
        <x:v>Pending</x:v>
      </x:c>
    </x:row>
    <x:row r="23" ht="30" customHeight="1">
      <x:c r="A23" s="22" t="n">
        <x:v>20</x:v>
      </x:c>
      <x:c r="B23" s="22" t="str">
        <x:v>G020</x:v>
      </x:c>
      <x:c r="C23" s="22" t="str">
        <x:v>MV-CLEAN-001</x:v>
      </x:c>
      <x:c r="D23" s="22" t="str">
        <x:v>MX</x:v>
      </x:c>
      <x:c r="E23" s="22" t="str">
        <x:v>es-MX</x:v>
      </x:c>
      <x:c r="F23" s="22" t="str">
        <x:v>product_listing</x:v>
      </x:c>
      <x:c r="G23" s="22" t="str">
        <x:v>G020-A</x:v>
      </x:c>
      <x:c r="H23" s="22" t="str">
        <x:v>G020-B</x:v>
      </x:c>
      <x:c r="I23" s="59" t="str">
        <x:f>IF(OR('Blind Review'!$Y$42="Reviewed",'Blind Review'!$Y$42="Failure"),'Blind Review'!$X$42,"")</x:f>
      </x:c>
      <x:c r="J23" s="59" t="str">
        <x:f>IF(OR('Blind Review'!$Y$43="Reviewed",'Blind Review'!$Y$43="Failure"),'Blind Review'!$X$43,"")</x:f>
      </x:c>
      <x:c r="K23" s="59" t="str">
        <x:f>IF(COUNT(I23:J23)=2,I23-J23,"")</x:f>
      </x:c>
      <x:c r="L23" s="53" t="str">
        <x:f>IF(OR('Blind Review'!$Y$42="Reviewed",'Blind Review'!$Y$42="Failure"),'Blind Review'!$I$42,"")</x:f>
      </x:c>
      <x:c r="M23" s="53" t="str">
        <x:f>IF(OR('Blind Review'!$Y$43="Reviewed",'Blind Review'!$Y$43="Failure"),'Blind Review'!$I$43,"")</x:f>
      </x:c>
      <x:c r="N23" s="53" t="str">
        <x:f>IF(OR('Blind Review'!$Y$42="Reviewed",'Blind Review'!$Y$42="Failure"),'Blind Review'!$Q$42,"")</x:f>
      </x:c>
      <x:c r="O23" s="53" t="str">
        <x:f>IF(OR('Blind Review'!$Y$43="Reviewed",'Blind Review'!$Y$43="Failure"),'Blind Review'!$Q$43,"")</x:f>
      </x:c>
      <x:c r="P23" s="53" t="str">
        <x:f>IF(OR('Blind Review'!$Y$42="Reviewed",'Blind Review'!$Y$42="Failure"),'Blind Review'!$R$42,"")</x:f>
      </x:c>
      <x:c r="Q23" s="53" t="str">
        <x:f>IF(OR('Blind Review'!$Y$43="Reviewed",'Blind Review'!$Y$43="Failure"),'Blind Review'!$R$43,"")</x:f>
      </x:c>
      <x:c r="R23" s="53" t="str">
        <x:f>IF(AND(OR('Blind Review'!$Y$42="Reviewed",'Blind Review'!$Y$42="Failure"),OR('Blind Review'!$Y$43="Reviewed",'Blind Review'!$Y$43="Failure")),"Complete","Pending")</x:f>
        <x:v>Pending</x:v>
      </x:c>
    </x:row>
    <x:row r="24" ht="30" customHeight="1">
      <x:c r="A24" s="22" t="n">
        <x:v>21</x:v>
      </x:c>
      <x:c r="B24" s="22" t="str">
        <x:v>G021</x:v>
      </x:c>
      <x:c r="C24" s="22" t="str">
        <x:v>MV-CLEAN-001</x:v>
      </x:c>
      <x:c r="D24" s="22" t="str">
        <x:v>US</x:v>
      </x:c>
      <x:c r="E24" s="22" t="str">
        <x:v>en-US</x:v>
      </x:c>
      <x:c r="F24" s="22" t="str">
        <x:v>product_listing</x:v>
      </x:c>
      <x:c r="G24" s="22" t="str">
        <x:v>G021-A</x:v>
      </x:c>
      <x:c r="H24" s="22" t="str">
        <x:v>G021-B</x:v>
      </x:c>
      <x:c r="I24" s="59" t="str">
        <x:f>IF(OR('Blind Review'!$Y$44="Reviewed",'Blind Review'!$Y$44="Failure"),'Blind Review'!$X$44,"")</x:f>
      </x:c>
      <x:c r="J24" s="59" t="str">
        <x:f>IF(OR('Blind Review'!$Y$45="Reviewed",'Blind Review'!$Y$45="Failure"),'Blind Review'!$X$45,"")</x:f>
      </x:c>
      <x:c r="K24" s="59" t="str">
        <x:f>IF(COUNT(I24:J24)=2,I24-J24,"")</x:f>
      </x:c>
      <x:c r="L24" s="53" t="str">
        <x:f>IF(OR('Blind Review'!$Y$44="Reviewed",'Blind Review'!$Y$44="Failure"),'Blind Review'!$I$44,"")</x:f>
      </x:c>
      <x:c r="M24" s="53" t="str">
        <x:f>IF(OR('Blind Review'!$Y$45="Reviewed",'Blind Review'!$Y$45="Failure"),'Blind Review'!$I$45,"")</x:f>
      </x:c>
      <x:c r="N24" s="53" t="str">
        <x:f>IF(OR('Blind Review'!$Y$44="Reviewed",'Blind Review'!$Y$44="Failure"),'Blind Review'!$Q$44,"")</x:f>
      </x:c>
      <x:c r="O24" s="53" t="str">
        <x:f>IF(OR('Blind Review'!$Y$45="Reviewed",'Blind Review'!$Y$45="Failure"),'Blind Review'!$Q$45,"")</x:f>
      </x:c>
      <x:c r="P24" s="53" t="str">
        <x:f>IF(OR('Blind Review'!$Y$44="Reviewed",'Blind Review'!$Y$44="Failure"),'Blind Review'!$R$44,"")</x:f>
      </x:c>
      <x:c r="Q24" s="53" t="str">
        <x:f>IF(OR('Blind Review'!$Y$45="Reviewed",'Blind Review'!$Y$45="Failure"),'Blind Review'!$R$45,"")</x:f>
      </x:c>
      <x:c r="R24" s="53" t="str">
        <x:f>IF(AND(OR('Blind Review'!$Y$44="Reviewed",'Blind Review'!$Y$44="Failure"),OR('Blind Review'!$Y$45="Reviewed",'Blind Review'!$Y$45="Failure")),"Complete","Pending")</x:f>
        <x:v>Pending</x:v>
      </x:c>
    </x:row>
    <x:row r="25" ht="30" customHeight="1">
      <x:c r="A25" s="22" t="n">
        <x:v>22</x:v>
      </x:c>
      <x:c r="B25" s="22" t="str">
        <x:v>G022</x:v>
      </x:c>
      <x:c r="C25" s="22" t="str">
        <x:v>MV-SERUM-001</x:v>
      </x:c>
      <x:c r="D25" s="22" t="str">
        <x:v>MX</x:v>
      </x:c>
      <x:c r="E25" s="22" t="str">
        <x:v>es-MX</x:v>
      </x:c>
      <x:c r="F25" s="22" t="str">
        <x:v>product_listing</x:v>
      </x:c>
      <x:c r="G25" s="22" t="str">
        <x:v>G022-A</x:v>
      </x:c>
      <x:c r="H25" s="22" t="str">
        <x:v>G022-B</x:v>
      </x:c>
      <x:c r="I25" s="59" t="str">
        <x:f>IF(OR('Blind Review'!$Y$46="Reviewed",'Blind Review'!$Y$46="Failure"),'Blind Review'!$X$46,"")</x:f>
      </x:c>
      <x:c r="J25" s="59" t="str">
        <x:f>IF(OR('Blind Review'!$Y$47="Reviewed",'Blind Review'!$Y$47="Failure"),'Blind Review'!$X$47,"")</x:f>
      </x:c>
      <x:c r="K25" s="59" t="str">
        <x:f>IF(COUNT(I25:J25)=2,I25-J25,"")</x:f>
      </x:c>
      <x:c r="L25" s="53" t="str">
        <x:f>IF(OR('Blind Review'!$Y$46="Reviewed",'Blind Review'!$Y$46="Failure"),'Blind Review'!$I$46,"")</x:f>
      </x:c>
      <x:c r="M25" s="53" t="str">
        <x:f>IF(OR('Blind Review'!$Y$47="Reviewed",'Blind Review'!$Y$47="Failure"),'Blind Review'!$I$47,"")</x:f>
      </x:c>
      <x:c r="N25" s="53" t="str">
        <x:f>IF(OR('Blind Review'!$Y$46="Reviewed",'Blind Review'!$Y$46="Failure"),'Blind Review'!$Q$46,"")</x:f>
      </x:c>
      <x:c r="O25" s="53" t="str">
        <x:f>IF(OR('Blind Review'!$Y$47="Reviewed",'Blind Review'!$Y$47="Failure"),'Blind Review'!$Q$47,"")</x:f>
      </x:c>
      <x:c r="P25" s="53" t="str">
        <x:f>IF(OR('Blind Review'!$Y$46="Reviewed",'Blind Review'!$Y$46="Failure"),'Blind Review'!$R$46,"")</x:f>
      </x:c>
      <x:c r="Q25" s="53" t="str">
        <x:f>IF(OR('Blind Review'!$Y$47="Reviewed",'Blind Review'!$Y$47="Failure"),'Blind Review'!$R$47,"")</x:f>
      </x:c>
      <x:c r="R25" s="53" t="str">
        <x:f>IF(AND(OR('Blind Review'!$Y$46="Reviewed",'Blind Review'!$Y$46="Failure"),OR('Blind Review'!$Y$47="Reviewed",'Blind Review'!$Y$47="Failure")),"Complete","Pending")</x:f>
        <x:v>Pending</x:v>
      </x:c>
    </x:row>
    <x:row r="26" ht="30" customHeight="1">
      <x:c r="A26" s="22" t="n">
        <x:v>23</x:v>
      </x:c>
      <x:c r="B26" s="22" t="str">
        <x:v>G023</x:v>
      </x:c>
      <x:c r="C26" s="22" t="str">
        <x:v>MV-SERUM-001</x:v>
      </x:c>
      <x:c r="D26" s="22" t="str">
        <x:v>US</x:v>
      </x:c>
      <x:c r="E26" s="22" t="str">
        <x:v>en-US</x:v>
      </x:c>
      <x:c r="F26" s="22" t="str">
        <x:v>social_ad_copy</x:v>
      </x:c>
      <x:c r="G26" s="22" t="str">
        <x:v>G023-A</x:v>
      </x:c>
      <x:c r="H26" s="22" t="str">
        <x:v>G023-B</x:v>
      </x:c>
      <x:c r="I26" s="59" t="str">
        <x:f>IF(OR('Blind Review'!$Y$48="Reviewed",'Blind Review'!$Y$48="Failure"),'Blind Review'!$X$48,"")</x:f>
      </x:c>
      <x:c r="J26" s="59" t="str">
        <x:f>IF(OR('Blind Review'!$Y$49="Reviewed",'Blind Review'!$Y$49="Failure"),'Blind Review'!$X$49,"")</x:f>
      </x:c>
      <x:c r="K26" s="59" t="str">
        <x:f>IF(COUNT(I26:J26)=2,I26-J26,"")</x:f>
      </x:c>
      <x:c r="L26" s="53" t="str">
        <x:f>IF(OR('Blind Review'!$Y$48="Reviewed",'Blind Review'!$Y$48="Failure"),'Blind Review'!$I$48,"")</x:f>
      </x:c>
      <x:c r="M26" s="53" t="str">
        <x:f>IF(OR('Blind Review'!$Y$49="Reviewed",'Blind Review'!$Y$49="Failure"),'Blind Review'!$I$49,"")</x:f>
      </x:c>
      <x:c r="N26" s="53" t="str">
        <x:f>IF(OR('Blind Review'!$Y$48="Reviewed",'Blind Review'!$Y$48="Failure"),'Blind Review'!$Q$48,"")</x:f>
      </x:c>
      <x:c r="O26" s="53" t="str">
        <x:f>IF(OR('Blind Review'!$Y$49="Reviewed",'Blind Review'!$Y$49="Failure"),'Blind Review'!$Q$49,"")</x:f>
      </x:c>
      <x:c r="P26" s="53" t="str">
        <x:f>IF(OR('Blind Review'!$Y$48="Reviewed",'Blind Review'!$Y$48="Failure"),'Blind Review'!$R$48,"")</x:f>
      </x:c>
      <x:c r="Q26" s="53" t="str">
        <x:f>IF(OR('Blind Review'!$Y$49="Reviewed",'Blind Review'!$Y$49="Failure"),'Blind Review'!$R$49,"")</x:f>
      </x:c>
      <x:c r="R26" s="53" t="str">
        <x:f>IF(AND(OR('Blind Review'!$Y$48="Reviewed",'Blind Review'!$Y$48="Failure"),OR('Blind Review'!$Y$49="Reviewed",'Blind Review'!$Y$49="Failure")),"Complete","Pending")</x:f>
        <x:v>Pending</x:v>
      </x:c>
    </x:row>
    <x:row r="27" ht="30" customHeight="1">
      <x:c r="A27" s="22" t="n">
        <x:v>24</x:v>
      </x:c>
      <x:c r="B27" s="22" t="str">
        <x:v>G024</x:v>
      </x:c>
      <x:c r="C27" s="22" t="str">
        <x:v>MV-CREAM-001</x:v>
      </x:c>
      <x:c r="D27" s="22" t="str">
        <x:v>US</x:v>
      </x:c>
      <x:c r="E27" s="22" t="str">
        <x:v>en-US</x:v>
      </x:c>
      <x:c r="F27" s="22" t="str">
        <x:v>social_ad_copy</x:v>
      </x:c>
      <x:c r="G27" s="22" t="str">
        <x:v>G024-A</x:v>
      </x:c>
      <x:c r="H27" s="22" t="str">
        <x:v>G024-B</x:v>
      </x:c>
      <x:c r="I27" s="59" t="str">
        <x:f>IF(OR('Blind Review'!$Y$50="Reviewed",'Blind Review'!$Y$50="Failure"),'Blind Review'!$X$50,"")</x:f>
      </x:c>
      <x:c r="J27" s="59" t="str">
        <x:f>IF(OR('Blind Review'!$Y$51="Reviewed",'Blind Review'!$Y$51="Failure"),'Blind Review'!$X$51,"")</x:f>
      </x:c>
      <x:c r="K27" s="59" t="str">
        <x:f>IF(COUNT(I27:J27)=2,I27-J27,"")</x:f>
      </x:c>
      <x:c r="L27" s="53" t="str">
        <x:f>IF(OR('Blind Review'!$Y$50="Reviewed",'Blind Review'!$Y$50="Failure"),'Blind Review'!$I$50,"")</x:f>
      </x:c>
      <x:c r="M27" s="53" t="str">
        <x:f>IF(OR('Blind Review'!$Y$51="Reviewed",'Blind Review'!$Y$51="Failure"),'Blind Review'!$I$51,"")</x:f>
      </x:c>
      <x:c r="N27" s="53" t="str">
        <x:f>IF(OR('Blind Review'!$Y$50="Reviewed",'Blind Review'!$Y$50="Failure"),'Blind Review'!$Q$50,"")</x:f>
      </x:c>
      <x:c r="O27" s="53" t="str">
        <x:f>IF(OR('Blind Review'!$Y$51="Reviewed",'Blind Review'!$Y$51="Failure"),'Blind Review'!$Q$51,"")</x:f>
      </x:c>
      <x:c r="P27" s="53" t="str">
        <x:f>IF(OR('Blind Review'!$Y$50="Reviewed",'Blind Review'!$Y$50="Failure"),'Blind Review'!$R$50,"")</x:f>
      </x:c>
      <x:c r="Q27" s="53" t="str">
        <x:f>IF(OR('Blind Review'!$Y$51="Reviewed",'Blind Review'!$Y$51="Failure"),'Blind Review'!$R$51,"")</x:f>
      </x:c>
      <x:c r="R27" s="53" t="str">
        <x:f>IF(AND(OR('Blind Review'!$Y$50="Reviewed",'Blind Review'!$Y$50="Failure"),OR('Blind Review'!$Y$51="Reviewed",'Blind Review'!$Y$51="Failure")),"Complete","Pending")</x:f>
        <x:v>Pending</x:v>
      </x:c>
    </x:row>
    <x:row r="28" ht="30" customHeight="1">
      <x:c r="A28" s="22" t="n">
        <x:v>25</x:v>
      </x:c>
      <x:c r="B28" s="22" t="str">
        <x:v>G025</x:v>
      </x:c>
      <x:c r="C28" s="22" t="str">
        <x:v>MV-HAND-001</x:v>
      </x:c>
      <x:c r="D28" s="22" t="str">
        <x:v>MX</x:v>
      </x:c>
      <x:c r="E28" s="22" t="str">
        <x:v>es-MX</x:v>
      </x:c>
      <x:c r="F28" s="22" t="str">
        <x:v>social_ad_copy</x:v>
      </x:c>
      <x:c r="G28" s="22" t="str">
        <x:v>G025-A</x:v>
      </x:c>
      <x:c r="H28" s="22" t="str">
        <x:v>G025-B</x:v>
      </x:c>
      <x:c r="I28" s="59" t="str">
        <x:f>IF(OR('Blind Review'!$Y$52="Reviewed",'Blind Review'!$Y$52="Failure"),'Blind Review'!$X$52,"")</x:f>
      </x:c>
      <x:c r="J28" s="59" t="str">
        <x:f>IF(OR('Blind Review'!$Y$53="Reviewed",'Blind Review'!$Y$53="Failure"),'Blind Review'!$X$53,"")</x:f>
      </x:c>
      <x:c r="K28" s="59" t="str">
        <x:f>IF(COUNT(I28:J28)=2,I28-J28,"")</x:f>
      </x:c>
      <x:c r="L28" s="53" t="str">
        <x:f>IF(OR('Blind Review'!$Y$52="Reviewed",'Blind Review'!$Y$52="Failure"),'Blind Review'!$I$52,"")</x:f>
      </x:c>
      <x:c r="M28" s="53" t="str">
        <x:f>IF(OR('Blind Review'!$Y$53="Reviewed",'Blind Review'!$Y$53="Failure"),'Blind Review'!$I$53,"")</x:f>
      </x:c>
      <x:c r="N28" s="53" t="str">
        <x:f>IF(OR('Blind Review'!$Y$52="Reviewed",'Blind Review'!$Y$52="Failure"),'Blind Review'!$Q$52,"")</x:f>
      </x:c>
      <x:c r="O28" s="53" t="str">
        <x:f>IF(OR('Blind Review'!$Y$53="Reviewed",'Blind Review'!$Y$53="Failure"),'Blind Review'!$Q$53,"")</x:f>
      </x:c>
      <x:c r="P28" s="53" t="str">
        <x:f>IF(OR('Blind Review'!$Y$52="Reviewed",'Blind Review'!$Y$52="Failure"),'Blind Review'!$R$52,"")</x:f>
      </x:c>
      <x:c r="Q28" s="53" t="str">
        <x:f>IF(OR('Blind Review'!$Y$53="Reviewed",'Blind Review'!$Y$53="Failure"),'Blind Review'!$R$53,"")</x:f>
      </x:c>
      <x:c r="R28" s="53" t="str">
        <x:f>IF(AND(OR('Blind Review'!$Y$52="Reviewed",'Blind Review'!$Y$52="Failure"),OR('Blind Review'!$Y$53="Reviewed",'Blind Review'!$Y$53="Failure")),"Complete","Pending")</x:f>
        <x:v>Pending</x:v>
      </x:c>
    </x:row>
    <x:row r="29" ht="30" customHeight="1">
      <x:c r="A29" s="22" t="n">
        <x:v>26</x:v>
      </x:c>
      <x:c r="B29" s="22" t="str">
        <x:v>G026</x:v>
      </x:c>
      <x:c r="C29" s="22" t="str">
        <x:v>MV-CLEAN-001</x:v>
      </x:c>
      <x:c r="D29" s="22" t="str">
        <x:v>US</x:v>
      </x:c>
      <x:c r="E29" s="22" t="str">
        <x:v>en-US</x:v>
      </x:c>
      <x:c r="F29" s="22" t="str">
        <x:v>social_ad_copy</x:v>
      </x:c>
      <x:c r="G29" s="22" t="str">
        <x:v>G026-A</x:v>
      </x:c>
      <x:c r="H29" s="22" t="str">
        <x:v>G026-B</x:v>
      </x:c>
      <x:c r="I29" s="59" t="str">
        <x:f>IF(OR('Blind Review'!$Y$54="Reviewed",'Blind Review'!$Y$54="Failure"),'Blind Review'!$X$54,"")</x:f>
      </x:c>
      <x:c r="J29" s="59" t="str">
        <x:f>IF(OR('Blind Review'!$Y$55="Reviewed",'Blind Review'!$Y$55="Failure"),'Blind Review'!$X$55,"")</x:f>
      </x:c>
      <x:c r="K29" s="59" t="str">
        <x:f>IF(COUNT(I29:J29)=2,I29-J29,"")</x:f>
      </x:c>
      <x:c r="L29" s="53" t="str">
        <x:f>IF(OR('Blind Review'!$Y$54="Reviewed",'Blind Review'!$Y$54="Failure"),'Blind Review'!$I$54,"")</x:f>
      </x:c>
      <x:c r="M29" s="53" t="str">
        <x:f>IF(OR('Blind Review'!$Y$55="Reviewed",'Blind Review'!$Y$55="Failure"),'Blind Review'!$I$55,"")</x:f>
      </x:c>
      <x:c r="N29" s="53" t="str">
        <x:f>IF(OR('Blind Review'!$Y$54="Reviewed",'Blind Review'!$Y$54="Failure"),'Blind Review'!$Q$54,"")</x:f>
      </x:c>
      <x:c r="O29" s="53" t="str">
        <x:f>IF(OR('Blind Review'!$Y$55="Reviewed",'Blind Review'!$Y$55="Failure"),'Blind Review'!$Q$55,"")</x:f>
      </x:c>
      <x:c r="P29" s="53" t="str">
        <x:f>IF(OR('Blind Review'!$Y$54="Reviewed",'Blind Review'!$Y$54="Failure"),'Blind Review'!$R$54,"")</x:f>
      </x:c>
      <x:c r="Q29" s="53" t="str">
        <x:f>IF(OR('Blind Review'!$Y$55="Reviewed",'Blind Review'!$Y$55="Failure"),'Blind Review'!$R$55,"")</x:f>
      </x:c>
      <x:c r="R29" s="53" t="str">
        <x:f>IF(AND(OR('Blind Review'!$Y$54="Reviewed",'Blind Review'!$Y$54="Failure"),OR('Blind Review'!$Y$55="Reviewed",'Blind Review'!$Y$55="Failure")),"Complete","Pending")</x:f>
        <x:v>Pending</x:v>
      </x:c>
    </x:row>
    <x:row r="30" ht="30" customHeight="1">
      <x:c r="A30" s="22" t="n">
        <x:v>27</x:v>
      </x:c>
      <x:c r="B30" s="22" t="str">
        <x:v>G027</x:v>
      </x:c>
      <x:c r="C30" s="22" t="str">
        <x:v>MV-HAND-001</x:v>
      </x:c>
      <x:c r="D30" s="22" t="str">
        <x:v>MX</x:v>
      </x:c>
      <x:c r="E30" s="22" t="str">
        <x:v>es-MX</x:v>
      </x:c>
      <x:c r="F30" s="22" t="str">
        <x:v>product_listing</x:v>
      </x:c>
      <x:c r="G30" s="22" t="str">
        <x:v>G027-A</x:v>
      </x:c>
      <x:c r="H30" s="22" t="str">
        <x:v>G027-B</x:v>
      </x:c>
      <x:c r="I30" s="59" t="str">
        <x:f>IF(OR('Blind Review'!$Y$56="Reviewed",'Blind Review'!$Y$56="Failure"),'Blind Review'!$X$56,"")</x:f>
      </x:c>
      <x:c r="J30" s="59" t="str">
        <x:f>IF(OR('Blind Review'!$Y$57="Reviewed",'Blind Review'!$Y$57="Failure"),'Blind Review'!$X$57,"")</x:f>
      </x:c>
      <x:c r="K30" s="59" t="str">
        <x:f>IF(COUNT(I30:J30)=2,I30-J30,"")</x:f>
      </x:c>
      <x:c r="L30" s="53" t="str">
        <x:f>IF(OR('Blind Review'!$Y$56="Reviewed",'Blind Review'!$Y$56="Failure"),'Blind Review'!$I$56,"")</x:f>
      </x:c>
      <x:c r="M30" s="53" t="str">
        <x:f>IF(OR('Blind Review'!$Y$57="Reviewed",'Blind Review'!$Y$57="Failure"),'Blind Review'!$I$57,"")</x:f>
      </x:c>
      <x:c r="N30" s="53" t="str">
        <x:f>IF(OR('Blind Review'!$Y$56="Reviewed",'Blind Review'!$Y$56="Failure"),'Blind Review'!$Q$56,"")</x:f>
      </x:c>
      <x:c r="O30" s="53" t="str">
        <x:f>IF(OR('Blind Review'!$Y$57="Reviewed",'Blind Review'!$Y$57="Failure"),'Blind Review'!$Q$57,"")</x:f>
      </x:c>
      <x:c r="P30" s="53" t="str">
        <x:f>IF(OR('Blind Review'!$Y$56="Reviewed",'Blind Review'!$Y$56="Failure"),'Blind Review'!$R$56,"")</x:f>
      </x:c>
      <x:c r="Q30" s="53" t="str">
        <x:f>IF(OR('Blind Review'!$Y$57="Reviewed",'Blind Review'!$Y$57="Failure"),'Blind Review'!$R$57,"")</x:f>
      </x:c>
      <x:c r="R30" s="53" t="str">
        <x:f>IF(AND(OR('Blind Review'!$Y$56="Reviewed",'Blind Review'!$Y$56="Failure"),OR('Blind Review'!$Y$57="Reviewed",'Blind Review'!$Y$57="Failure")),"Complete","Pending")</x:f>
        <x:v>Pending</x:v>
      </x:c>
    </x:row>
    <x:row r="31" ht="30" customHeight="1">
      <x:c r="A31" s="22" t="n">
        <x:v>28</x:v>
      </x:c>
      <x:c r="B31" s="22" t="str">
        <x:v>G028</x:v>
      </x:c>
      <x:c r="C31" s="22" t="str">
        <x:v>MV-SERUM-001</x:v>
      </x:c>
      <x:c r="D31" s="22" t="str">
        <x:v>MX</x:v>
      </x:c>
      <x:c r="E31" s="22" t="str">
        <x:v>es-MX</x:v>
      </x:c>
      <x:c r="F31" s="22" t="str">
        <x:v>short_video_script</x:v>
      </x:c>
      <x:c r="G31" s="22" t="str">
        <x:v>G028-A</x:v>
      </x:c>
      <x:c r="H31" s="22" t="str">
        <x:v>G028-B</x:v>
      </x:c>
      <x:c r="I31" s="59" t="str">
        <x:f>IF(OR('Blind Review'!$Y$58="Reviewed",'Blind Review'!$Y$58="Failure"),'Blind Review'!$X$58,"")</x:f>
      </x:c>
      <x:c r="J31" s="59" t="str">
        <x:f>IF(OR('Blind Review'!$Y$59="Reviewed",'Blind Review'!$Y$59="Failure"),'Blind Review'!$X$59,"")</x:f>
      </x:c>
      <x:c r="K31" s="59" t="str">
        <x:f>IF(COUNT(I31:J31)=2,I31-J31,"")</x:f>
      </x:c>
      <x:c r="L31" s="53" t="str">
        <x:f>IF(OR('Blind Review'!$Y$58="Reviewed",'Blind Review'!$Y$58="Failure"),'Blind Review'!$I$58,"")</x:f>
      </x:c>
      <x:c r="M31" s="53" t="str">
        <x:f>IF(OR('Blind Review'!$Y$59="Reviewed",'Blind Review'!$Y$59="Failure"),'Blind Review'!$I$59,"")</x:f>
      </x:c>
      <x:c r="N31" s="53" t="str">
        <x:f>IF(OR('Blind Review'!$Y$58="Reviewed",'Blind Review'!$Y$58="Failure"),'Blind Review'!$Q$58,"")</x:f>
      </x:c>
      <x:c r="O31" s="53" t="str">
        <x:f>IF(OR('Blind Review'!$Y$59="Reviewed",'Blind Review'!$Y$59="Failure"),'Blind Review'!$Q$59,"")</x:f>
      </x:c>
      <x:c r="P31" s="53" t="str">
        <x:f>IF(OR('Blind Review'!$Y$58="Reviewed",'Blind Review'!$Y$58="Failure"),'Blind Review'!$R$58,"")</x:f>
      </x:c>
      <x:c r="Q31" s="53" t="str">
        <x:f>IF(OR('Blind Review'!$Y$59="Reviewed",'Blind Review'!$Y$59="Failure"),'Blind Review'!$R$59,"")</x:f>
      </x:c>
      <x:c r="R31" s="53" t="str">
        <x:f>IF(AND(OR('Blind Review'!$Y$58="Reviewed",'Blind Review'!$Y$58="Failure"),OR('Blind Review'!$Y$59="Reviewed",'Blind Review'!$Y$59="Failure")),"Complete","Pending")</x:f>
        <x:v>Pending</x:v>
      </x:c>
    </x:row>
    <x:row r="32" ht="30" customHeight="1">
      <x:c r="A32" s="22" t="n">
        <x:v>29</x:v>
      </x:c>
      <x:c r="B32" s="22" t="str">
        <x:v>G029</x:v>
      </x:c>
      <x:c r="C32" s="22" t="str">
        <x:v>MV-CREAM-001</x:v>
      </x:c>
      <x:c r="D32" s="22" t="str">
        <x:v>MX</x:v>
      </x:c>
      <x:c r="E32" s="22" t="str">
        <x:v>es-MX</x:v>
      </x:c>
      <x:c r="F32" s="22" t="str">
        <x:v>product_listing</x:v>
      </x:c>
      <x:c r="G32" s="22" t="str">
        <x:v>G029-A</x:v>
      </x:c>
      <x:c r="H32" s="22" t="str">
        <x:v>G029-B</x:v>
      </x:c>
      <x:c r="I32" s="59" t="str">
        <x:f>IF(OR('Blind Review'!$Y$60="Reviewed",'Blind Review'!$Y$60="Failure"),'Blind Review'!$X$60,"")</x:f>
      </x:c>
      <x:c r="J32" s="59" t="str">
        <x:f>IF(OR('Blind Review'!$Y$61="Reviewed",'Blind Review'!$Y$61="Failure"),'Blind Review'!$X$61,"")</x:f>
      </x:c>
      <x:c r="K32" s="59" t="str">
        <x:f>IF(COUNT(I32:J32)=2,I32-J32,"")</x:f>
      </x:c>
      <x:c r="L32" s="53" t="str">
        <x:f>IF(OR('Blind Review'!$Y$60="Reviewed",'Blind Review'!$Y$60="Failure"),'Blind Review'!$I$60,"")</x:f>
      </x:c>
      <x:c r="M32" s="53" t="str">
        <x:f>IF(OR('Blind Review'!$Y$61="Reviewed",'Blind Review'!$Y$61="Failure"),'Blind Review'!$I$61,"")</x:f>
      </x:c>
      <x:c r="N32" s="53" t="str">
        <x:f>IF(OR('Blind Review'!$Y$60="Reviewed",'Blind Review'!$Y$60="Failure"),'Blind Review'!$Q$60,"")</x:f>
      </x:c>
      <x:c r="O32" s="53" t="str">
        <x:f>IF(OR('Blind Review'!$Y$61="Reviewed",'Blind Review'!$Y$61="Failure"),'Blind Review'!$Q$61,"")</x:f>
      </x:c>
      <x:c r="P32" s="53" t="str">
        <x:f>IF(OR('Blind Review'!$Y$60="Reviewed",'Blind Review'!$Y$60="Failure"),'Blind Review'!$R$60,"")</x:f>
      </x:c>
      <x:c r="Q32" s="53" t="str">
        <x:f>IF(OR('Blind Review'!$Y$61="Reviewed",'Blind Review'!$Y$61="Failure"),'Blind Review'!$R$61,"")</x:f>
      </x:c>
      <x:c r="R32" s="53" t="str">
        <x:f>IF(AND(OR('Blind Review'!$Y$60="Reviewed",'Blind Review'!$Y$60="Failure"),OR('Blind Review'!$Y$61="Reviewed",'Blind Review'!$Y$61="Failure")),"Complete","Pending")</x:f>
        <x:v>Pending</x:v>
      </x:c>
    </x:row>
    <x:row r="33" ht="30" customHeight="1">
      <x:c r="A33" s="22" t="n">
        <x:v>30</x:v>
      </x:c>
      <x:c r="B33" s="22" t="str">
        <x:v>G030</x:v>
      </x:c>
      <x:c r="C33" s="22" t="str">
        <x:v>MV-KIT-001</x:v>
      </x:c>
      <x:c r="D33" s="22" t="str">
        <x:v>MX</x:v>
      </x:c>
      <x:c r="E33" s="22" t="str">
        <x:v>es-MX</x:v>
      </x:c>
      <x:c r="F33" s="22" t="str">
        <x:v>social_ad_copy</x:v>
      </x:c>
      <x:c r="G33" s="22" t="str">
        <x:v>G030-A</x:v>
      </x:c>
      <x:c r="H33" s="22" t="str">
        <x:v>G030-B</x:v>
      </x:c>
      <x:c r="I33" s="59" t="str">
        <x:f>IF(OR('Blind Review'!$Y$62="Reviewed",'Blind Review'!$Y$62="Failure"),'Blind Review'!$X$62,"")</x:f>
      </x:c>
      <x:c r="J33" s="59" t="str">
        <x:f>IF(OR('Blind Review'!$Y$63="Reviewed",'Blind Review'!$Y$63="Failure"),'Blind Review'!$X$63,"")</x:f>
      </x:c>
      <x:c r="K33" s="59" t="str">
        <x:f>IF(COUNT(I33:J33)=2,I33-J33,"")</x:f>
      </x:c>
      <x:c r="L33" s="53" t="str">
        <x:f>IF(OR('Blind Review'!$Y$62="Reviewed",'Blind Review'!$Y$62="Failure"),'Blind Review'!$I$62,"")</x:f>
      </x:c>
      <x:c r="M33" s="53" t="str">
        <x:f>IF(OR('Blind Review'!$Y$63="Reviewed",'Blind Review'!$Y$63="Failure"),'Blind Review'!$I$63,"")</x:f>
      </x:c>
      <x:c r="N33" s="53" t="str">
        <x:f>IF(OR('Blind Review'!$Y$62="Reviewed",'Blind Review'!$Y$62="Failure"),'Blind Review'!$Q$62,"")</x:f>
      </x:c>
      <x:c r="O33" s="53" t="str">
        <x:f>IF(OR('Blind Review'!$Y$63="Reviewed",'Blind Review'!$Y$63="Failure"),'Blind Review'!$Q$63,"")</x:f>
      </x:c>
      <x:c r="P33" s="53" t="str">
        <x:f>IF(OR('Blind Review'!$Y$62="Reviewed",'Blind Review'!$Y$62="Failure"),'Blind Review'!$R$62,"")</x:f>
      </x:c>
      <x:c r="Q33" s="53" t="str">
        <x:f>IF(OR('Blind Review'!$Y$63="Reviewed",'Blind Review'!$Y$63="Failure"),'Blind Review'!$R$63,"")</x:f>
      </x:c>
      <x:c r="R33" s="53" t="str">
        <x:f>IF(AND(OR('Blind Review'!$Y$62="Reviewed",'Blind Review'!$Y$62="Failure"),OR('Blind Review'!$Y$63="Reviewed",'Blind Review'!$Y$63="Failure")),"Complete","Pending")</x:f>
        <x:v>Pending</x:v>
      </x:c>
    </x:row>
  </x:sheetData>
  <x:mergeCells>
    <x:mergeCell ref="A1:R1"/>
    <x:mergeCell ref="A2:R2"/>
  </x:mergeCells>
  <x:conditionalFormatting sqref="R4:R33">
    <x:cfRule type="containsText" dxfId="5" priority="1" operator="containsText" text="Complete"/>
  </x:conditionalFormatting>
  <x:pageMargins left="0.7" right="0.7" top="0.75" bottom="0.75" header="0.3" footer="0.3"/>
  <x:tableParts count="1">
    <x:tablePart xmlns:r="http://schemas.openxmlformats.org/officeDocument/2006/relationships" r:id="R209dc7de67ec4b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1" hidden="0" customWidth="1"/>
    <x:col min="3" max="3" width="18" hidden="0" customWidth="1"/>
    <x:col min="4" max="4" width="11" hidden="0" customWidth="1"/>
    <x:col min="5" max="5" width="22" hidden="0" customWidth="1"/>
    <x:col min="6" max="6" width="11" hidden="0" customWidth="1"/>
    <x:col min="7" max="7" width="14" hidden="0" customWidth="1"/>
    <x:col min="8" max="8" width="12" hidden="0" customWidth="1"/>
    <x:col min="9" max="9" width="13" hidden="0" customWidth="1"/>
    <x:col min="10" max="10" width="15" hidden="0" customWidth="1"/>
    <x:col min="11" max="11" width="14" hidden="0" customWidth="1"/>
    <x:col min="12" max="12" width="13" hidden="0" customWidth="1"/>
    <x:col min="13" max="13" width="26" hidden="0" customWidth="1"/>
    <x:col min="14" max="14" width="44" hidden="0" customWidth="1"/>
  </x:cols>
  <x:sheetData>
    <x:row r="1" ht="34" customHeight="1">
      <x:c r="A1" s="3" t="str">
        <x:v>Failure Log｜Populates from Actual Human Scores</x:v>
      </x:c>
      <x:c r="B1" s="3"/>
      <x:c r="C1" s="3"/>
      <x:c r="D1" s="3"/>
      <x:c r="E1" s="3"/>
      <x:c r="F1" s="3"/>
      <x:c r="G1" s="3"/>
      <x:c r="H1" s="3"/>
      <x:c r="I1" s="3"/>
      <x:c r="J1" s="3"/>
      <x:c r="K1" s="3"/>
      <x:c r="L1" s="3"/>
      <x:c r="M1" s="3"/>
      <x:c r="N1" s="3"/>
    </x:row>
    <x:row r="2">
      <x:c r="A2" s="6" t="str">
        <x:v>完成评分后筛选 Failure Flag=Failure。最终报告至少选择 5 个案例，并结合人工评论说明失败原因与修改。</x:v>
      </x:c>
      <x:c r="B2" s="6"/>
      <x:c r="C2" s="6"/>
      <x:c r="D2" s="6"/>
      <x:c r="E2" s="6"/>
      <x:c r="F2" s="6"/>
      <x:c r="G2" s="6"/>
      <x:c r="H2" s="6"/>
      <x:c r="I2" s="6"/>
      <x:c r="J2" s="6"/>
      <x:c r="K2" s="6"/>
      <x:c r="L2" s="6"/>
      <x:c r="M2" s="6"/>
      <x:c r="N2" s="6"/>
    </x:row>
    <x:row r="3">
      <x:c r="A3" s="16" t="str">
        <x:v>Candidate ID</x:v>
      </x:c>
      <x:c r="B3" s="45" t="str">
        <x:v>Group ID</x:v>
      </x:c>
      <x:c r="C3" s="45" t="str">
        <x:v>SKU</x:v>
      </x:c>
      <x:c r="D3" s="45" t="str">
        <x:v>Language</x:v>
      </x:c>
      <x:c r="E3" s="45" t="str">
        <x:v>Content Type</x:v>
      </x:c>
      <x:c r="F3" s="45" t="str">
        <x:v>Candidate</x:v>
      </x:c>
      <x:c r="G3" s="45" t="str">
        <x:v>Fact Accuracy</x:v>
      </x:c>
      <x:c r="H3" s="45" t="str">
        <x:v>Mean Score</x:v>
      </x:c>
      <x:c r="I3" s="45" t="str">
        <x:v>Publishability</x:v>
      </x:c>
      <x:c r="J3" s="45" t="str">
        <x:v>Modification Count</x:v>
      </x:c>
      <x:c r="K3" s="45" t="str">
        <x:v>Review Minutes</x:v>
      </x:c>
      <x:c r="L3" s="45" t="str">
        <x:v>Failure Flag</x:v>
      </x:c>
      <x:c r="M3" s="45" t="str">
        <x:v>Failure Tags</x:v>
      </x:c>
      <x:c r="N3" s="17" t="str">
        <x:v>Reviewer Comments</x:v>
      </x:c>
    </x:row>
    <x:row r="4" ht="42" customHeight="1">
      <x:c r="A4" s="53" t="str">
        <x:f>'Blind Review'!$B$4</x:f>
        <x:v>G001-A</x:v>
      </x:c>
      <x:c r="B4" s="53" t="str">
        <x:f>'Blind Review'!$C$4</x:f>
        <x:v>G001</x:v>
      </x:c>
      <x:c r="C4" s="53" t="str">
        <x:f>'Blind Review'!$D$4</x:f>
        <x:v>MV-CREAM-001</x:v>
      </x:c>
      <x:c r="D4" s="53" t="str">
        <x:f>'Blind Review'!$E$4</x:f>
        <x:v>en-US</x:v>
      </x:c>
      <x:c r="E4" s="53" t="str">
        <x:f>'Blind Review'!$F$4</x:f>
        <x:v>short_video_script</x:v>
      </x:c>
      <x:c r="F4" s="53" t="str">
        <x:f>'Blind Review'!$G$4</x:f>
        <x:v>A</x:v>
      </x:c>
      <x:c r="G4" s="53" t="str">
        <x:f>IF(OR('Blind Review'!$Y$4="Reviewed",'Blind Review'!$Y$4="Failure"),'Blind Review'!$I$4,"")</x:f>
      </x:c>
      <x:c r="H4" s="59" t="str">
        <x:f>IF(OR('Blind Review'!$Y$4="Reviewed",'Blind Review'!$Y$4="Failure"),'Blind Review'!$X$4,"")</x:f>
      </x:c>
      <x:c r="I4" s="53" t="str">
        <x:f>IF(OR('Blind Review'!$Y$4="Reviewed",'Blind Review'!$Y$4="Failure"),'Blind Review'!$P$4,"")</x:f>
      </x:c>
      <x:c r="J4" s="53" t="str">
        <x:f>IF(OR('Blind Review'!$Y$4="Reviewed",'Blind Review'!$Y$4="Failure"),'Blind Review'!$Q$4,"")</x:f>
      </x:c>
      <x:c r="K4" s="53" t="str">
        <x:f>IF(OR('Blind Review'!$Y$4="Reviewed",'Blind Review'!$Y$4="Failure"),'Blind Review'!$R$4,"")</x:f>
      </x:c>
      <x:c r="L4" s="53" t="str">
        <x:f>'Blind Review'!$Y$4</x:f>
        <x:v>Pending</x:v>
      </x:c>
      <x:c r="M4" s="53" t="str">
        <x:f>IF('Blind Review'!$W$4&lt;&gt;"",'Blind Review'!$W$4,"")</x:f>
      </x:c>
      <x:c r="N4" s="53" t="str">
        <x:f>IF('Blind Review'!$V$4&lt;&gt;"",'Blind Review'!$V$4,"")</x:f>
      </x:c>
    </x:row>
    <x:row r="5" ht="42" customHeight="1">
      <x:c r="A5" s="53" t="str">
        <x:f>'Blind Review'!$B$5</x:f>
        <x:v>G001-B</x:v>
      </x:c>
      <x:c r="B5" s="53" t="str">
        <x:f>'Blind Review'!$C$5</x:f>
        <x:v>G001</x:v>
      </x:c>
      <x:c r="C5" s="53" t="str">
        <x:f>'Blind Review'!$D$5</x:f>
        <x:v>MV-CREAM-001</x:v>
      </x:c>
      <x:c r="D5" s="53" t="str">
        <x:f>'Blind Review'!$E$5</x:f>
        <x:v>en-US</x:v>
      </x:c>
      <x:c r="E5" s="53" t="str">
        <x:f>'Blind Review'!$F$5</x:f>
        <x:v>short_video_script</x:v>
      </x:c>
      <x:c r="F5" s="53" t="str">
        <x:f>'Blind Review'!$G$5</x:f>
        <x:v>B</x:v>
      </x:c>
      <x:c r="G5" s="53" t="str">
        <x:f>IF(OR('Blind Review'!$Y$5="Reviewed",'Blind Review'!$Y$5="Failure"),'Blind Review'!$I$5,"")</x:f>
      </x:c>
      <x:c r="H5" s="59" t="str">
        <x:f>IF(OR('Blind Review'!$Y$5="Reviewed",'Blind Review'!$Y$5="Failure"),'Blind Review'!$X$5,"")</x:f>
      </x:c>
      <x:c r="I5" s="53" t="str">
        <x:f>IF(OR('Blind Review'!$Y$5="Reviewed",'Blind Review'!$Y$5="Failure"),'Blind Review'!$P$5,"")</x:f>
      </x:c>
      <x:c r="J5" s="53" t="str">
        <x:f>IF(OR('Blind Review'!$Y$5="Reviewed",'Blind Review'!$Y$5="Failure"),'Blind Review'!$Q$5,"")</x:f>
      </x:c>
      <x:c r="K5" s="53" t="str">
        <x:f>IF(OR('Blind Review'!$Y$5="Reviewed",'Blind Review'!$Y$5="Failure"),'Blind Review'!$R$5,"")</x:f>
      </x:c>
      <x:c r="L5" s="53" t="str">
        <x:f>'Blind Review'!$Y$5</x:f>
        <x:v>Pending</x:v>
      </x:c>
      <x:c r="M5" s="53" t="str">
        <x:f>IF('Blind Review'!$W$5&lt;&gt;"",'Blind Review'!$W$5,"")</x:f>
      </x:c>
      <x:c r="N5" s="53" t="str">
        <x:f>IF('Blind Review'!$V$5&lt;&gt;"",'Blind Review'!$V$5,"")</x:f>
      </x:c>
    </x:row>
    <x:row r="6" ht="42" customHeight="1">
      <x:c r="A6" s="53" t="str">
        <x:f>'Blind Review'!$B$6</x:f>
        <x:v>G002-A</x:v>
      </x:c>
      <x:c r="B6" s="53" t="str">
        <x:f>'Blind Review'!$C$6</x:f>
        <x:v>G002</x:v>
      </x:c>
      <x:c r="C6" s="53" t="str">
        <x:f>'Blind Review'!$D$6</x:f>
        <x:v>MV-KIT-001</x:v>
      </x:c>
      <x:c r="D6" s="53" t="str">
        <x:f>'Blind Review'!$E$6</x:f>
        <x:v>en-US</x:v>
      </x:c>
      <x:c r="E6" s="53" t="str">
        <x:f>'Blind Review'!$F$6</x:f>
        <x:v>social_ad_copy</x:v>
      </x:c>
      <x:c r="F6" s="53" t="str">
        <x:f>'Blind Review'!$G$6</x:f>
        <x:v>A</x:v>
      </x:c>
      <x:c r="G6" s="53" t="str">
        <x:f>IF(OR('Blind Review'!$Y$6="Reviewed",'Blind Review'!$Y$6="Failure"),'Blind Review'!$I$6,"")</x:f>
      </x:c>
      <x:c r="H6" s="59" t="str">
        <x:f>IF(OR('Blind Review'!$Y$6="Reviewed",'Blind Review'!$Y$6="Failure"),'Blind Review'!$X$6,"")</x:f>
      </x:c>
      <x:c r="I6" s="53" t="str">
        <x:f>IF(OR('Blind Review'!$Y$6="Reviewed",'Blind Review'!$Y$6="Failure"),'Blind Review'!$P$6,"")</x:f>
      </x:c>
      <x:c r="J6" s="53" t="str">
        <x:f>IF(OR('Blind Review'!$Y$6="Reviewed",'Blind Review'!$Y$6="Failure"),'Blind Review'!$Q$6,"")</x:f>
      </x:c>
      <x:c r="K6" s="53" t="str">
        <x:f>IF(OR('Blind Review'!$Y$6="Reviewed",'Blind Review'!$Y$6="Failure"),'Blind Review'!$R$6,"")</x:f>
      </x:c>
      <x:c r="L6" s="53" t="str">
        <x:f>'Blind Review'!$Y$6</x:f>
        <x:v>Pending</x:v>
      </x:c>
      <x:c r="M6" s="53" t="str">
        <x:f>IF('Blind Review'!$W$6&lt;&gt;"",'Blind Review'!$W$6,"")</x:f>
      </x:c>
      <x:c r="N6" s="53" t="str">
        <x:f>IF('Blind Review'!$V$6&lt;&gt;"",'Blind Review'!$V$6,"")</x:f>
      </x:c>
    </x:row>
    <x:row r="7" ht="42" customHeight="1">
      <x:c r="A7" s="53" t="str">
        <x:f>'Blind Review'!$B$7</x:f>
        <x:v>G002-B</x:v>
      </x:c>
      <x:c r="B7" s="53" t="str">
        <x:f>'Blind Review'!$C$7</x:f>
        <x:v>G002</x:v>
      </x:c>
      <x:c r="C7" s="53" t="str">
        <x:f>'Blind Review'!$D$7</x:f>
        <x:v>MV-KIT-001</x:v>
      </x:c>
      <x:c r="D7" s="53" t="str">
        <x:f>'Blind Review'!$E$7</x:f>
        <x:v>en-US</x:v>
      </x:c>
      <x:c r="E7" s="53" t="str">
        <x:f>'Blind Review'!$F$7</x:f>
        <x:v>social_ad_copy</x:v>
      </x:c>
      <x:c r="F7" s="53" t="str">
        <x:f>'Blind Review'!$G$7</x:f>
        <x:v>B</x:v>
      </x:c>
      <x:c r="G7" s="53" t="str">
        <x:f>IF(OR('Blind Review'!$Y$7="Reviewed",'Blind Review'!$Y$7="Failure"),'Blind Review'!$I$7,"")</x:f>
      </x:c>
      <x:c r="H7" s="59" t="str">
        <x:f>IF(OR('Blind Review'!$Y$7="Reviewed",'Blind Review'!$Y$7="Failure"),'Blind Review'!$X$7,"")</x:f>
      </x:c>
      <x:c r="I7" s="53" t="str">
        <x:f>IF(OR('Blind Review'!$Y$7="Reviewed",'Blind Review'!$Y$7="Failure"),'Blind Review'!$P$7,"")</x:f>
      </x:c>
      <x:c r="J7" s="53" t="str">
        <x:f>IF(OR('Blind Review'!$Y$7="Reviewed",'Blind Review'!$Y$7="Failure"),'Blind Review'!$Q$7,"")</x:f>
      </x:c>
      <x:c r="K7" s="53" t="str">
        <x:f>IF(OR('Blind Review'!$Y$7="Reviewed",'Blind Review'!$Y$7="Failure"),'Blind Review'!$R$7,"")</x:f>
      </x:c>
      <x:c r="L7" s="53" t="str">
        <x:f>'Blind Review'!$Y$7</x:f>
        <x:v>Pending</x:v>
      </x:c>
      <x:c r="M7" s="53" t="str">
        <x:f>IF('Blind Review'!$W$7&lt;&gt;"",'Blind Review'!$W$7,"")</x:f>
      </x:c>
      <x:c r="N7" s="53" t="str">
        <x:f>IF('Blind Review'!$V$7&lt;&gt;"",'Blind Review'!$V$7,"")</x:f>
      </x:c>
    </x:row>
    <x:row r="8" ht="42" customHeight="1">
      <x:c r="A8" s="53" t="str">
        <x:f>'Blind Review'!$B$8</x:f>
        <x:v>G003-A</x:v>
      </x:c>
      <x:c r="B8" s="53" t="str">
        <x:f>'Blind Review'!$C$8</x:f>
        <x:v>G003</x:v>
      </x:c>
      <x:c r="C8" s="53" t="str">
        <x:f>'Blind Review'!$D$8</x:f>
        <x:v>MV-HAND-001</x:v>
      </x:c>
      <x:c r="D8" s="53" t="str">
        <x:f>'Blind Review'!$E$8</x:f>
        <x:v>es-MX</x:v>
      </x:c>
      <x:c r="E8" s="53" t="str">
        <x:f>'Blind Review'!$F$8</x:f>
        <x:v>short_video_script</x:v>
      </x:c>
      <x:c r="F8" s="53" t="str">
        <x:f>'Blind Review'!$G$8</x:f>
        <x:v>A</x:v>
      </x:c>
      <x:c r="G8" s="53" t="str">
        <x:f>IF(OR('Blind Review'!$Y$8="Reviewed",'Blind Review'!$Y$8="Failure"),'Blind Review'!$I$8,"")</x:f>
      </x:c>
      <x:c r="H8" s="59" t="str">
        <x:f>IF(OR('Blind Review'!$Y$8="Reviewed",'Blind Review'!$Y$8="Failure"),'Blind Review'!$X$8,"")</x:f>
      </x:c>
      <x:c r="I8" s="53" t="str">
        <x:f>IF(OR('Blind Review'!$Y$8="Reviewed",'Blind Review'!$Y$8="Failure"),'Blind Review'!$P$8,"")</x:f>
      </x:c>
      <x:c r="J8" s="53" t="str">
        <x:f>IF(OR('Blind Review'!$Y$8="Reviewed",'Blind Review'!$Y$8="Failure"),'Blind Review'!$Q$8,"")</x:f>
      </x:c>
      <x:c r="K8" s="53" t="str">
        <x:f>IF(OR('Blind Review'!$Y$8="Reviewed",'Blind Review'!$Y$8="Failure"),'Blind Review'!$R$8,"")</x:f>
      </x:c>
      <x:c r="L8" s="53" t="str">
        <x:f>'Blind Review'!$Y$8</x:f>
        <x:v>Pending</x:v>
      </x:c>
      <x:c r="M8" s="53" t="str">
        <x:f>IF('Blind Review'!$W$8&lt;&gt;"",'Blind Review'!$W$8,"")</x:f>
      </x:c>
      <x:c r="N8" s="53" t="str">
        <x:f>IF('Blind Review'!$V$8&lt;&gt;"",'Blind Review'!$V$8,"")</x:f>
      </x:c>
    </x:row>
    <x:row r="9" ht="42" customHeight="1">
      <x:c r="A9" s="53" t="str">
        <x:f>'Blind Review'!$B$9</x:f>
        <x:v>G003-B</x:v>
      </x:c>
      <x:c r="B9" s="53" t="str">
        <x:f>'Blind Review'!$C$9</x:f>
        <x:v>G003</x:v>
      </x:c>
      <x:c r="C9" s="53" t="str">
        <x:f>'Blind Review'!$D$9</x:f>
        <x:v>MV-HAND-001</x:v>
      </x:c>
      <x:c r="D9" s="53" t="str">
        <x:f>'Blind Review'!$E$9</x:f>
        <x:v>es-MX</x:v>
      </x:c>
      <x:c r="E9" s="53" t="str">
        <x:f>'Blind Review'!$F$9</x:f>
        <x:v>short_video_script</x:v>
      </x:c>
      <x:c r="F9" s="53" t="str">
        <x:f>'Blind Review'!$G$9</x:f>
        <x:v>B</x:v>
      </x:c>
      <x:c r="G9" s="53" t="str">
        <x:f>IF(OR('Blind Review'!$Y$9="Reviewed",'Blind Review'!$Y$9="Failure"),'Blind Review'!$I$9,"")</x:f>
      </x:c>
      <x:c r="H9" s="59" t="str">
        <x:f>IF(OR('Blind Review'!$Y$9="Reviewed",'Blind Review'!$Y$9="Failure"),'Blind Review'!$X$9,"")</x:f>
      </x:c>
      <x:c r="I9" s="53" t="str">
        <x:f>IF(OR('Blind Review'!$Y$9="Reviewed",'Blind Review'!$Y$9="Failure"),'Blind Review'!$P$9,"")</x:f>
      </x:c>
      <x:c r="J9" s="53" t="str">
        <x:f>IF(OR('Blind Review'!$Y$9="Reviewed",'Blind Review'!$Y$9="Failure"),'Blind Review'!$Q$9,"")</x:f>
      </x:c>
      <x:c r="K9" s="53" t="str">
        <x:f>IF(OR('Blind Review'!$Y$9="Reviewed",'Blind Review'!$Y$9="Failure"),'Blind Review'!$R$9,"")</x:f>
      </x:c>
      <x:c r="L9" s="53" t="str">
        <x:f>'Blind Review'!$Y$9</x:f>
        <x:v>Pending</x:v>
      </x:c>
      <x:c r="M9" s="53" t="str">
        <x:f>IF('Blind Review'!$W$9&lt;&gt;"",'Blind Review'!$W$9,"")</x:f>
      </x:c>
      <x:c r="N9" s="53" t="str">
        <x:f>IF('Blind Review'!$V$9&lt;&gt;"",'Blind Review'!$V$9,"")</x:f>
      </x:c>
    </x:row>
    <x:row r="10" ht="42" customHeight="1">
      <x:c r="A10" s="53" t="str">
        <x:f>'Blind Review'!$B$10</x:f>
        <x:v>G004-A</x:v>
      </x:c>
      <x:c r="B10" s="53" t="str">
        <x:f>'Blind Review'!$C$10</x:f>
        <x:v>G004</x:v>
      </x:c>
      <x:c r="C10" s="53" t="str">
        <x:f>'Blind Review'!$D$10</x:f>
        <x:v>MV-KIT-001</x:v>
      </x:c>
      <x:c r="D10" s="53" t="str">
        <x:f>'Blind Review'!$E$10</x:f>
        <x:v>es-MX</x:v>
      </x:c>
      <x:c r="E10" s="53" t="str">
        <x:f>'Blind Review'!$F$10</x:f>
        <x:v>short_video_script</x:v>
      </x:c>
      <x:c r="F10" s="53" t="str">
        <x:f>'Blind Review'!$G$10</x:f>
        <x:v>A</x:v>
      </x:c>
      <x:c r="G10" s="53" t="str">
        <x:f>IF(OR('Blind Review'!$Y$10="Reviewed",'Blind Review'!$Y$10="Failure"),'Blind Review'!$I$10,"")</x:f>
      </x:c>
      <x:c r="H10" s="59" t="str">
        <x:f>IF(OR('Blind Review'!$Y$10="Reviewed",'Blind Review'!$Y$10="Failure"),'Blind Review'!$X$10,"")</x:f>
      </x:c>
      <x:c r="I10" s="53" t="str">
        <x:f>IF(OR('Blind Review'!$Y$10="Reviewed",'Blind Review'!$Y$10="Failure"),'Blind Review'!$P$10,"")</x:f>
      </x:c>
      <x:c r="J10" s="53" t="str">
        <x:f>IF(OR('Blind Review'!$Y$10="Reviewed",'Blind Review'!$Y$10="Failure"),'Blind Review'!$Q$10,"")</x:f>
      </x:c>
      <x:c r="K10" s="53" t="str">
        <x:f>IF(OR('Blind Review'!$Y$10="Reviewed",'Blind Review'!$Y$10="Failure"),'Blind Review'!$R$10,"")</x:f>
      </x:c>
      <x:c r="L10" s="53" t="str">
        <x:f>'Blind Review'!$Y$10</x:f>
        <x:v>Pending</x:v>
      </x:c>
      <x:c r="M10" s="53" t="str">
        <x:f>IF('Blind Review'!$W$10&lt;&gt;"",'Blind Review'!$W$10,"")</x:f>
      </x:c>
      <x:c r="N10" s="53" t="str">
        <x:f>IF('Blind Review'!$V$10&lt;&gt;"",'Blind Review'!$V$10,"")</x:f>
      </x:c>
    </x:row>
    <x:row r="11" ht="42" customHeight="1">
      <x:c r="A11" s="53" t="str">
        <x:f>'Blind Review'!$B$11</x:f>
        <x:v>G004-B</x:v>
      </x:c>
      <x:c r="B11" s="53" t="str">
        <x:f>'Blind Review'!$C$11</x:f>
        <x:v>G004</x:v>
      </x:c>
      <x:c r="C11" s="53" t="str">
        <x:f>'Blind Review'!$D$11</x:f>
        <x:v>MV-KIT-001</x:v>
      </x:c>
      <x:c r="D11" s="53" t="str">
        <x:f>'Blind Review'!$E$11</x:f>
        <x:v>es-MX</x:v>
      </x:c>
      <x:c r="E11" s="53" t="str">
        <x:f>'Blind Review'!$F$11</x:f>
        <x:v>short_video_script</x:v>
      </x:c>
      <x:c r="F11" s="53" t="str">
        <x:f>'Blind Review'!$G$11</x:f>
        <x:v>B</x:v>
      </x:c>
      <x:c r="G11" s="53" t="str">
        <x:f>IF(OR('Blind Review'!$Y$11="Reviewed",'Blind Review'!$Y$11="Failure"),'Blind Review'!$I$11,"")</x:f>
      </x:c>
      <x:c r="H11" s="59" t="str">
        <x:f>IF(OR('Blind Review'!$Y$11="Reviewed",'Blind Review'!$Y$11="Failure"),'Blind Review'!$X$11,"")</x:f>
      </x:c>
      <x:c r="I11" s="53" t="str">
        <x:f>IF(OR('Blind Review'!$Y$11="Reviewed",'Blind Review'!$Y$11="Failure"),'Blind Review'!$P$11,"")</x:f>
      </x:c>
      <x:c r="J11" s="53" t="str">
        <x:f>IF(OR('Blind Review'!$Y$11="Reviewed",'Blind Review'!$Y$11="Failure"),'Blind Review'!$Q$11,"")</x:f>
      </x:c>
      <x:c r="K11" s="53" t="str">
        <x:f>IF(OR('Blind Review'!$Y$11="Reviewed",'Blind Review'!$Y$11="Failure"),'Blind Review'!$R$11,"")</x:f>
      </x:c>
      <x:c r="L11" s="53" t="str">
        <x:f>'Blind Review'!$Y$11</x:f>
        <x:v>Pending</x:v>
      </x:c>
      <x:c r="M11" s="53" t="str">
        <x:f>IF('Blind Review'!$W$11&lt;&gt;"",'Blind Review'!$W$11,"")</x:f>
      </x:c>
      <x:c r="N11" s="53" t="str">
        <x:f>IF('Blind Review'!$V$11&lt;&gt;"",'Blind Review'!$V$11,"")</x:f>
      </x:c>
    </x:row>
    <x:row r="12" ht="42" customHeight="1">
      <x:c r="A12" s="53" t="str">
        <x:f>'Blind Review'!$B$12</x:f>
        <x:v>G005-A</x:v>
      </x:c>
      <x:c r="B12" s="53" t="str">
        <x:f>'Blind Review'!$C$12</x:f>
        <x:v>G005</x:v>
      </x:c>
      <x:c r="C12" s="53" t="str">
        <x:f>'Blind Review'!$D$12</x:f>
        <x:v>MV-CLEAN-001</x:v>
      </x:c>
      <x:c r="D12" s="53" t="str">
        <x:f>'Blind Review'!$E$12</x:f>
        <x:v>es-MX</x:v>
      </x:c>
      <x:c r="E12" s="53" t="str">
        <x:f>'Blind Review'!$F$12</x:f>
        <x:v>social_ad_copy</x:v>
      </x:c>
      <x:c r="F12" s="53" t="str">
        <x:f>'Blind Review'!$G$12</x:f>
        <x:v>A</x:v>
      </x:c>
      <x:c r="G12" s="53" t="str">
        <x:f>IF(OR('Blind Review'!$Y$12="Reviewed",'Blind Review'!$Y$12="Failure"),'Blind Review'!$I$12,"")</x:f>
      </x:c>
      <x:c r="H12" s="59" t="str">
        <x:f>IF(OR('Blind Review'!$Y$12="Reviewed",'Blind Review'!$Y$12="Failure"),'Blind Review'!$X$12,"")</x:f>
      </x:c>
      <x:c r="I12" s="53" t="str">
        <x:f>IF(OR('Blind Review'!$Y$12="Reviewed",'Blind Review'!$Y$12="Failure"),'Blind Review'!$P$12,"")</x:f>
      </x:c>
      <x:c r="J12" s="53" t="str">
        <x:f>IF(OR('Blind Review'!$Y$12="Reviewed",'Blind Review'!$Y$12="Failure"),'Blind Review'!$Q$12,"")</x:f>
      </x:c>
      <x:c r="K12" s="53" t="str">
        <x:f>IF(OR('Blind Review'!$Y$12="Reviewed",'Blind Review'!$Y$12="Failure"),'Blind Review'!$R$12,"")</x:f>
      </x:c>
      <x:c r="L12" s="53" t="str">
        <x:f>'Blind Review'!$Y$12</x:f>
        <x:v>Pending</x:v>
      </x:c>
      <x:c r="M12" s="53" t="str">
        <x:f>IF('Blind Review'!$W$12&lt;&gt;"",'Blind Review'!$W$12,"")</x:f>
      </x:c>
      <x:c r="N12" s="53" t="str">
        <x:f>IF('Blind Review'!$V$12&lt;&gt;"",'Blind Review'!$V$12,"")</x:f>
      </x:c>
    </x:row>
    <x:row r="13" ht="42" customHeight="1">
      <x:c r="A13" s="53" t="str">
        <x:f>'Blind Review'!$B$13</x:f>
        <x:v>G005-B</x:v>
      </x:c>
      <x:c r="B13" s="53" t="str">
        <x:f>'Blind Review'!$C$13</x:f>
        <x:v>G005</x:v>
      </x:c>
      <x:c r="C13" s="53" t="str">
        <x:f>'Blind Review'!$D$13</x:f>
        <x:v>MV-CLEAN-001</x:v>
      </x:c>
      <x:c r="D13" s="53" t="str">
        <x:f>'Blind Review'!$E$13</x:f>
        <x:v>es-MX</x:v>
      </x:c>
      <x:c r="E13" s="53" t="str">
        <x:f>'Blind Review'!$F$13</x:f>
        <x:v>social_ad_copy</x:v>
      </x:c>
      <x:c r="F13" s="53" t="str">
        <x:f>'Blind Review'!$G$13</x:f>
        <x:v>B</x:v>
      </x:c>
      <x:c r="G13" s="53" t="str">
        <x:f>IF(OR('Blind Review'!$Y$13="Reviewed",'Blind Review'!$Y$13="Failure"),'Blind Review'!$I$13,"")</x:f>
      </x:c>
      <x:c r="H13" s="59" t="str">
        <x:f>IF(OR('Blind Review'!$Y$13="Reviewed",'Blind Review'!$Y$13="Failure"),'Blind Review'!$X$13,"")</x:f>
      </x:c>
      <x:c r="I13" s="53" t="str">
        <x:f>IF(OR('Blind Review'!$Y$13="Reviewed",'Blind Review'!$Y$13="Failure"),'Blind Review'!$P$13,"")</x:f>
      </x:c>
      <x:c r="J13" s="53" t="str">
        <x:f>IF(OR('Blind Review'!$Y$13="Reviewed",'Blind Review'!$Y$13="Failure"),'Blind Review'!$Q$13,"")</x:f>
      </x:c>
      <x:c r="K13" s="53" t="str">
        <x:f>IF(OR('Blind Review'!$Y$13="Reviewed",'Blind Review'!$Y$13="Failure"),'Blind Review'!$R$13,"")</x:f>
      </x:c>
      <x:c r="L13" s="53" t="str">
        <x:f>'Blind Review'!$Y$13</x:f>
        <x:v>Pending</x:v>
      </x:c>
      <x:c r="M13" s="53" t="str">
        <x:f>IF('Blind Review'!$W$13&lt;&gt;"",'Blind Review'!$W$13,"")</x:f>
      </x:c>
      <x:c r="N13" s="53" t="str">
        <x:f>IF('Blind Review'!$V$13&lt;&gt;"",'Blind Review'!$V$13,"")</x:f>
      </x:c>
    </x:row>
    <x:row r="14" ht="42" customHeight="1">
      <x:c r="A14" s="53" t="str">
        <x:f>'Blind Review'!$B$14</x:f>
        <x:v>G006-A</x:v>
      </x:c>
      <x:c r="B14" s="53" t="str">
        <x:f>'Blind Review'!$C$14</x:f>
        <x:v>G006</x:v>
      </x:c>
      <x:c r="C14" s="53" t="str">
        <x:f>'Blind Review'!$D$14</x:f>
        <x:v>MV-HAND-001</x:v>
      </x:c>
      <x:c r="D14" s="53" t="str">
        <x:f>'Blind Review'!$E$14</x:f>
        <x:v>en-US</x:v>
      </x:c>
      <x:c r="E14" s="53" t="str">
        <x:f>'Blind Review'!$F$14</x:f>
        <x:v>short_video_script</x:v>
      </x:c>
      <x:c r="F14" s="53" t="str">
        <x:f>'Blind Review'!$G$14</x:f>
        <x:v>A</x:v>
      </x:c>
      <x:c r="G14" s="53" t="str">
        <x:f>IF(OR('Blind Review'!$Y$14="Reviewed",'Blind Review'!$Y$14="Failure"),'Blind Review'!$I$14,"")</x:f>
      </x:c>
      <x:c r="H14" s="59" t="str">
        <x:f>IF(OR('Blind Review'!$Y$14="Reviewed",'Blind Review'!$Y$14="Failure"),'Blind Review'!$X$14,"")</x:f>
      </x:c>
      <x:c r="I14" s="53" t="str">
        <x:f>IF(OR('Blind Review'!$Y$14="Reviewed",'Blind Review'!$Y$14="Failure"),'Blind Review'!$P$14,"")</x:f>
      </x:c>
      <x:c r="J14" s="53" t="str">
        <x:f>IF(OR('Blind Review'!$Y$14="Reviewed",'Blind Review'!$Y$14="Failure"),'Blind Review'!$Q$14,"")</x:f>
      </x:c>
      <x:c r="K14" s="53" t="str">
        <x:f>IF(OR('Blind Review'!$Y$14="Reviewed",'Blind Review'!$Y$14="Failure"),'Blind Review'!$R$14,"")</x:f>
      </x:c>
      <x:c r="L14" s="53" t="str">
        <x:f>'Blind Review'!$Y$14</x:f>
        <x:v>Pending</x:v>
      </x:c>
      <x:c r="M14" s="53" t="str">
        <x:f>IF('Blind Review'!$W$14&lt;&gt;"",'Blind Review'!$W$14,"")</x:f>
      </x:c>
      <x:c r="N14" s="53" t="str">
        <x:f>IF('Blind Review'!$V$14&lt;&gt;"",'Blind Review'!$V$14,"")</x:f>
      </x:c>
    </x:row>
    <x:row r="15" ht="42" customHeight="1">
      <x:c r="A15" s="53" t="str">
        <x:f>'Blind Review'!$B$15</x:f>
        <x:v>G006-B</x:v>
      </x:c>
      <x:c r="B15" s="53" t="str">
        <x:f>'Blind Review'!$C$15</x:f>
        <x:v>G006</x:v>
      </x:c>
      <x:c r="C15" s="53" t="str">
        <x:f>'Blind Review'!$D$15</x:f>
        <x:v>MV-HAND-001</x:v>
      </x:c>
      <x:c r="D15" s="53" t="str">
        <x:f>'Blind Review'!$E$15</x:f>
        <x:v>en-US</x:v>
      </x:c>
      <x:c r="E15" s="53" t="str">
        <x:f>'Blind Review'!$F$15</x:f>
        <x:v>short_video_script</x:v>
      </x:c>
      <x:c r="F15" s="53" t="str">
        <x:f>'Blind Review'!$G$15</x:f>
        <x:v>B</x:v>
      </x:c>
      <x:c r="G15" s="53" t="str">
        <x:f>IF(OR('Blind Review'!$Y$15="Reviewed",'Blind Review'!$Y$15="Failure"),'Blind Review'!$I$15,"")</x:f>
      </x:c>
      <x:c r="H15" s="59" t="str">
        <x:f>IF(OR('Blind Review'!$Y$15="Reviewed",'Blind Review'!$Y$15="Failure"),'Blind Review'!$X$15,"")</x:f>
      </x:c>
      <x:c r="I15" s="53" t="str">
        <x:f>IF(OR('Blind Review'!$Y$15="Reviewed",'Blind Review'!$Y$15="Failure"),'Blind Review'!$P$15,"")</x:f>
      </x:c>
      <x:c r="J15" s="53" t="str">
        <x:f>IF(OR('Blind Review'!$Y$15="Reviewed",'Blind Review'!$Y$15="Failure"),'Blind Review'!$Q$15,"")</x:f>
      </x:c>
      <x:c r="K15" s="53" t="str">
        <x:f>IF(OR('Blind Review'!$Y$15="Reviewed",'Blind Review'!$Y$15="Failure"),'Blind Review'!$R$15,"")</x:f>
      </x:c>
      <x:c r="L15" s="53" t="str">
        <x:f>'Blind Review'!$Y$15</x:f>
        <x:v>Pending</x:v>
      </x:c>
      <x:c r="M15" s="53" t="str">
        <x:f>IF('Blind Review'!$W$15&lt;&gt;"",'Blind Review'!$W$15,"")</x:f>
      </x:c>
      <x:c r="N15" s="53" t="str">
        <x:f>IF('Blind Review'!$V$15&lt;&gt;"",'Blind Review'!$V$15,"")</x:f>
      </x:c>
    </x:row>
    <x:row r="16" ht="42" customHeight="1">
      <x:c r="A16" s="53" t="str">
        <x:f>'Blind Review'!$B$16</x:f>
        <x:v>G007-A</x:v>
      </x:c>
      <x:c r="B16" s="53" t="str">
        <x:f>'Blind Review'!$C$16</x:f>
        <x:v>G007</x:v>
      </x:c>
      <x:c r="C16" s="53" t="str">
        <x:f>'Blind Review'!$D$16</x:f>
        <x:v>MV-HAND-001</x:v>
      </x:c>
      <x:c r="D16" s="53" t="str">
        <x:f>'Blind Review'!$E$16</x:f>
        <x:v>en-US</x:v>
      </x:c>
      <x:c r="E16" s="53" t="str">
        <x:f>'Blind Review'!$F$16</x:f>
        <x:v>product_listing</x:v>
      </x:c>
      <x:c r="F16" s="53" t="str">
        <x:f>'Blind Review'!$G$16</x:f>
        <x:v>A</x:v>
      </x:c>
      <x:c r="G16" s="53" t="str">
        <x:f>IF(OR('Blind Review'!$Y$16="Reviewed",'Blind Review'!$Y$16="Failure"),'Blind Review'!$I$16,"")</x:f>
      </x:c>
      <x:c r="H16" s="59" t="str">
        <x:f>IF(OR('Blind Review'!$Y$16="Reviewed",'Blind Review'!$Y$16="Failure"),'Blind Review'!$X$16,"")</x:f>
      </x:c>
      <x:c r="I16" s="53" t="str">
        <x:f>IF(OR('Blind Review'!$Y$16="Reviewed",'Blind Review'!$Y$16="Failure"),'Blind Review'!$P$16,"")</x:f>
      </x:c>
      <x:c r="J16" s="53" t="str">
        <x:f>IF(OR('Blind Review'!$Y$16="Reviewed",'Blind Review'!$Y$16="Failure"),'Blind Review'!$Q$16,"")</x:f>
      </x:c>
      <x:c r="K16" s="53" t="str">
        <x:f>IF(OR('Blind Review'!$Y$16="Reviewed",'Blind Review'!$Y$16="Failure"),'Blind Review'!$R$16,"")</x:f>
      </x:c>
      <x:c r="L16" s="53" t="str">
        <x:f>'Blind Review'!$Y$16</x:f>
        <x:v>Pending</x:v>
      </x:c>
      <x:c r="M16" s="53" t="str">
        <x:f>IF('Blind Review'!$W$16&lt;&gt;"",'Blind Review'!$W$16,"")</x:f>
      </x:c>
      <x:c r="N16" s="53" t="str">
        <x:f>IF('Blind Review'!$V$16&lt;&gt;"",'Blind Review'!$V$16,"")</x:f>
      </x:c>
    </x:row>
    <x:row r="17" ht="42" customHeight="1">
      <x:c r="A17" s="53" t="str">
        <x:f>'Blind Review'!$B$17</x:f>
        <x:v>G007-B</x:v>
      </x:c>
      <x:c r="B17" s="53" t="str">
        <x:f>'Blind Review'!$C$17</x:f>
        <x:v>G007</x:v>
      </x:c>
      <x:c r="C17" s="53" t="str">
        <x:f>'Blind Review'!$D$17</x:f>
        <x:v>MV-HAND-001</x:v>
      </x:c>
      <x:c r="D17" s="53" t="str">
        <x:f>'Blind Review'!$E$17</x:f>
        <x:v>en-US</x:v>
      </x:c>
      <x:c r="E17" s="53" t="str">
        <x:f>'Blind Review'!$F$17</x:f>
        <x:v>product_listing</x:v>
      </x:c>
      <x:c r="F17" s="53" t="str">
        <x:f>'Blind Review'!$G$17</x:f>
        <x:v>B</x:v>
      </x:c>
      <x:c r="G17" s="53" t="str">
        <x:f>IF(OR('Blind Review'!$Y$17="Reviewed",'Blind Review'!$Y$17="Failure"),'Blind Review'!$I$17,"")</x:f>
      </x:c>
      <x:c r="H17" s="59" t="str">
        <x:f>IF(OR('Blind Review'!$Y$17="Reviewed",'Blind Review'!$Y$17="Failure"),'Blind Review'!$X$17,"")</x:f>
      </x:c>
      <x:c r="I17" s="53" t="str">
        <x:f>IF(OR('Blind Review'!$Y$17="Reviewed",'Blind Review'!$Y$17="Failure"),'Blind Review'!$P$17,"")</x:f>
      </x:c>
      <x:c r="J17" s="53" t="str">
        <x:f>IF(OR('Blind Review'!$Y$17="Reviewed",'Blind Review'!$Y$17="Failure"),'Blind Review'!$Q$17,"")</x:f>
      </x:c>
      <x:c r="K17" s="53" t="str">
        <x:f>IF(OR('Blind Review'!$Y$17="Reviewed",'Blind Review'!$Y$17="Failure"),'Blind Review'!$R$17,"")</x:f>
      </x:c>
      <x:c r="L17" s="53" t="str">
        <x:f>'Blind Review'!$Y$17</x:f>
        <x:v>Pending</x:v>
      </x:c>
      <x:c r="M17" s="53" t="str">
        <x:f>IF('Blind Review'!$W$17&lt;&gt;"",'Blind Review'!$W$17,"")</x:f>
      </x:c>
      <x:c r="N17" s="53" t="str">
        <x:f>IF('Blind Review'!$V$17&lt;&gt;"",'Blind Review'!$V$17,"")</x:f>
      </x:c>
    </x:row>
    <x:row r="18" ht="42" customHeight="1">
      <x:c r="A18" s="53" t="str">
        <x:f>'Blind Review'!$B$18</x:f>
        <x:v>G008-A</x:v>
      </x:c>
      <x:c r="B18" s="53" t="str">
        <x:f>'Blind Review'!$C$18</x:f>
        <x:v>G008</x:v>
      </x:c>
      <x:c r="C18" s="53" t="str">
        <x:f>'Blind Review'!$D$18</x:f>
        <x:v>MV-CLEAN-001</x:v>
      </x:c>
      <x:c r="D18" s="53" t="str">
        <x:f>'Blind Review'!$E$18</x:f>
        <x:v>es-MX</x:v>
      </x:c>
      <x:c r="E18" s="53" t="str">
        <x:f>'Blind Review'!$F$18</x:f>
        <x:v>short_video_script</x:v>
      </x:c>
      <x:c r="F18" s="53" t="str">
        <x:f>'Blind Review'!$G$18</x:f>
        <x:v>A</x:v>
      </x:c>
      <x:c r="G18" s="53" t="str">
        <x:f>IF(OR('Blind Review'!$Y$18="Reviewed",'Blind Review'!$Y$18="Failure"),'Blind Review'!$I$18,"")</x:f>
      </x:c>
      <x:c r="H18" s="59" t="str">
        <x:f>IF(OR('Blind Review'!$Y$18="Reviewed",'Blind Review'!$Y$18="Failure"),'Blind Review'!$X$18,"")</x:f>
      </x:c>
      <x:c r="I18" s="53" t="str">
        <x:f>IF(OR('Blind Review'!$Y$18="Reviewed",'Blind Review'!$Y$18="Failure"),'Blind Review'!$P$18,"")</x:f>
      </x:c>
      <x:c r="J18" s="53" t="str">
        <x:f>IF(OR('Blind Review'!$Y$18="Reviewed",'Blind Review'!$Y$18="Failure"),'Blind Review'!$Q$18,"")</x:f>
      </x:c>
      <x:c r="K18" s="53" t="str">
        <x:f>IF(OR('Blind Review'!$Y$18="Reviewed",'Blind Review'!$Y$18="Failure"),'Blind Review'!$R$18,"")</x:f>
      </x:c>
      <x:c r="L18" s="53" t="str">
        <x:f>'Blind Review'!$Y$18</x:f>
        <x:v>Pending</x:v>
      </x:c>
      <x:c r="M18" s="53" t="str">
        <x:f>IF('Blind Review'!$W$18&lt;&gt;"",'Blind Review'!$W$18,"")</x:f>
      </x:c>
      <x:c r="N18" s="53" t="str">
        <x:f>IF('Blind Review'!$V$18&lt;&gt;"",'Blind Review'!$V$18,"")</x:f>
      </x:c>
    </x:row>
    <x:row r="19" ht="42" customHeight="1">
      <x:c r="A19" s="53" t="str">
        <x:f>'Blind Review'!$B$19</x:f>
        <x:v>G008-B</x:v>
      </x:c>
      <x:c r="B19" s="53" t="str">
        <x:f>'Blind Review'!$C$19</x:f>
        <x:v>G008</x:v>
      </x:c>
      <x:c r="C19" s="53" t="str">
        <x:f>'Blind Review'!$D$19</x:f>
        <x:v>MV-CLEAN-001</x:v>
      </x:c>
      <x:c r="D19" s="53" t="str">
        <x:f>'Blind Review'!$E$19</x:f>
        <x:v>es-MX</x:v>
      </x:c>
      <x:c r="E19" s="53" t="str">
        <x:f>'Blind Review'!$F$19</x:f>
        <x:v>short_video_script</x:v>
      </x:c>
      <x:c r="F19" s="53" t="str">
        <x:f>'Blind Review'!$G$19</x:f>
        <x:v>B</x:v>
      </x:c>
      <x:c r="G19" s="53" t="str">
        <x:f>IF(OR('Blind Review'!$Y$19="Reviewed",'Blind Review'!$Y$19="Failure"),'Blind Review'!$I$19,"")</x:f>
      </x:c>
      <x:c r="H19" s="59" t="str">
        <x:f>IF(OR('Blind Review'!$Y$19="Reviewed",'Blind Review'!$Y$19="Failure"),'Blind Review'!$X$19,"")</x:f>
      </x:c>
      <x:c r="I19" s="53" t="str">
        <x:f>IF(OR('Blind Review'!$Y$19="Reviewed",'Blind Review'!$Y$19="Failure"),'Blind Review'!$P$19,"")</x:f>
      </x:c>
      <x:c r="J19" s="53" t="str">
        <x:f>IF(OR('Blind Review'!$Y$19="Reviewed",'Blind Review'!$Y$19="Failure"),'Blind Review'!$Q$19,"")</x:f>
      </x:c>
      <x:c r="K19" s="53" t="str">
        <x:f>IF(OR('Blind Review'!$Y$19="Reviewed",'Blind Review'!$Y$19="Failure"),'Blind Review'!$R$19,"")</x:f>
      </x:c>
      <x:c r="L19" s="53" t="str">
        <x:f>'Blind Review'!$Y$19</x:f>
        <x:v>Pending</x:v>
      </x:c>
      <x:c r="M19" s="53" t="str">
        <x:f>IF('Blind Review'!$W$19&lt;&gt;"",'Blind Review'!$W$19,"")</x:f>
      </x:c>
      <x:c r="N19" s="53" t="str">
        <x:f>IF('Blind Review'!$V$19&lt;&gt;"",'Blind Review'!$V$19,"")</x:f>
      </x:c>
    </x:row>
    <x:row r="20" ht="42" customHeight="1">
      <x:c r="A20" s="53" t="str">
        <x:f>'Blind Review'!$B$20</x:f>
        <x:v>G009-A</x:v>
      </x:c>
      <x:c r="B20" s="53" t="str">
        <x:f>'Blind Review'!$C$20</x:f>
        <x:v>G009</x:v>
      </x:c>
      <x:c r="C20" s="53" t="str">
        <x:f>'Blind Review'!$D$20</x:f>
        <x:v>MV-KIT-001</x:v>
      </x:c>
      <x:c r="D20" s="53" t="str">
        <x:f>'Blind Review'!$E$20</x:f>
        <x:v>en-US</x:v>
      </x:c>
      <x:c r="E20" s="53" t="str">
        <x:f>'Blind Review'!$F$20</x:f>
        <x:v>short_video_script</x:v>
      </x:c>
      <x:c r="F20" s="53" t="str">
        <x:f>'Blind Review'!$G$20</x:f>
        <x:v>A</x:v>
      </x:c>
      <x:c r="G20" s="53" t="str">
        <x:f>IF(OR('Blind Review'!$Y$20="Reviewed",'Blind Review'!$Y$20="Failure"),'Blind Review'!$I$20,"")</x:f>
      </x:c>
      <x:c r="H20" s="59" t="str">
        <x:f>IF(OR('Blind Review'!$Y$20="Reviewed",'Blind Review'!$Y$20="Failure"),'Blind Review'!$X$20,"")</x:f>
      </x:c>
      <x:c r="I20" s="53" t="str">
        <x:f>IF(OR('Blind Review'!$Y$20="Reviewed",'Blind Review'!$Y$20="Failure"),'Blind Review'!$P$20,"")</x:f>
      </x:c>
      <x:c r="J20" s="53" t="str">
        <x:f>IF(OR('Blind Review'!$Y$20="Reviewed",'Blind Review'!$Y$20="Failure"),'Blind Review'!$Q$20,"")</x:f>
      </x:c>
      <x:c r="K20" s="53" t="str">
        <x:f>IF(OR('Blind Review'!$Y$20="Reviewed",'Blind Review'!$Y$20="Failure"),'Blind Review'!$R$20,"")</x:f>
      </x:c>
      <x:c r="L20" s="53" t="str">
        <x:f>'Blind Review'!$Y$20</x:f>
        <x:v>Pending</x:v>
      </x:c>
      <x:c r="M20" s="53" t="str">
        <x:f>IF('Blind Review'!$W$20&lt;&gt;"",'Blind Review'!$W$20,"")</x:f>
      </x:c>
      <x:c r="N20" s="53" t="str">
        <x:f>IF('Blind Review'!$V$20&lt;&gt;"",'Blind Review'!$V$20,"")</x:f>
      </x:c>
    </x:row>
    <x:row r="21" ht="42" customHeight="1">
      <x:c r="A21" s="53" t="str">
        <x:f>'Blind Review'!$B$21</x:f>
        <x:v>G009-B</x:v>
      </x:c>
      <x:c r="B21" s="53" t="str">
        <x:f>'Blind Review'!$C$21</x:f>
        <x:v>G009</x:v>
      </x:c>
      <x:c r="C21" s="53" t="str">
        <x:f>'Blind Review'!$D$21</x:f>
        <x:v>MV-KIT-001</x:v>
      </x:c>
      <x:c r="D21" s="53" t="str">
        <x:f>'Blind Review'!$E$21</x:f>
        <x:v>en-US</x:v>
      </x:c>
      <x:c r="E21" s="53" t="str">
        <x:f>'Blind Review'!$F$21</x:f>
        <x:v>short_video_script</x:v>
      </x:c>
      <x:c r="F21" s="53" t="str">
        <x:f>'Blind Review'!$G$21</x:f>
        <x:v>B</x:v>
      </x:c>
      <x:c r="G21" s="53" t="str">
        <x:f>IF(OR('Blind Review'!$Y$21="Reviewed",'Blind Review'!$Y$21="Failure"),'Blind Review'!$I$21,"")</x:f>
      </x:c>
      <x:c r="H21" s="59" t="str">
        <x:f>IF(OR('Blind Review'!$Y$21="Reviewed",'Blind Review'!$Y$21="Failure"),'Blind Review'!$X$21,"")</x:f>
      </x:c>
      <x:c r="I21" s="53" t="str">
        <x:f>IF(OR('Blind Review'!$Y$21="Reviewed",'Blind Review'!$Y$21="Failure"),'Blind Review'!$P$21,"")</x:f>
      </x:c>
      <x:c r="J21" s="53" t="str">
        <x:f>IF(OR('Blind Review'!$Y$21="Reviewed",'Blind Review'!$Y$21="Failure"),'Blind Review'!$Q$21,"")</x:f>
      </x:c>
      <x:c r="K21" s="53" t="str">
        <x:f>IF(OR('Blind Review'!$Y$21="Reviewed",'Blind Review'!$Y$21="Failure"),'Blind Review'!$R$21,"")</x:f>
      </x:c>
      <x:c r="L21" s="53" t="str">
        <x:f>'Blind Review'!$Y$21</x:f>
        <x:v>Pending</x:v>
      </x:c>
      <x:c r="M21" s="53" t="str">
        <x:f>IF('Blind Review'!$W$21&lt;&gt;"",'Blind Review'!$W$21,"")</x:f>
      </x:c>
      <x:c r="N21" s="53" t="str">
        <x:f>IF('Blind Review'!$V$21&lt;&gt;"",'Blind Review'!$V$21,"")</x:f>
      </x:c>
    </x:row>
    <x:row r="22" ht="42" customHeight="1">
      <x:c r="A22" s="53" t="str">
        <x:f>'Blind Review'!$B$22</x:f>
        <x:v>G010-A</x:v>
      </x:c>
      <x:c r="B22" s="53" t="str">
        <x:f>'Blind Review'!$C$22</x:f>
        <x:v>G010</x:v>
      </x:c>
      <x:c r="C22" s="53" t="str">
        <x:f>'Blind Review'!$D$22</x:f>
        <x:v>MV-SERUM-001</x:v>
      </x:c>
      <x:c r="D22" s="53" t="str">
        <x:f>'Blind Review'!$E$22</x:f>
        <x:v>en-US</x:v>
      </x:c>
      <x:c r="E22" s="53" t="str">
        <x:f>'Blind Review'!$F$22</x:f>
        <x:v>short_video_script</x:v>
      </x:c>
      <x:c r="F22" s="53" t="str">
        <x:f>'Blind Review'!$G$22</x:f>
        <x:v>A</x:v>
      </x:c>
      <x:c r="G22" s="53" t="str">
        <x:f>IF(OR('Blind Review'!$Y$22="Reviewed",'Blind Review'!$Y$22="Failure"),'Blind Review'!$I$22,"")</x:f>
      </x:c>
      <x:c r="H22" s="59" t="str">
        <x:f>IF(OR('Blind Review'!$Y$22="Reviewed",'Blind Review'!$Y$22="Failure"),'Blind Review'!$X$22,"")</x:f>
      </x:c>
      <x:c r="I22" s="53" t="str">
        <x:f>IF(OR('Blind Review'!$Y$22="Reviewed",'Blind Review'!$Y$22="Failure"),'Blind Review'!$P$22,"")</x:f>
      </x:c>
      <x:c r="J22" s="53" t="str">
        <x:f>IF(OR('Blind Review'!$Y$22="Reviewed",'Blind Review'!$Y$22="Failure"),'Blind Review'!$Q$22,"")</x:f>
      </x:c>
      <x:c r="K22" s="53" t="str">
        <x:f>IF(OR('Blind Review'!$Y$22="Reviewed",'Blind Review'!$Y$22="Failure"),'Blind Review'!$R$22,"")</x:f>
      </x:c>
      <x:c r="L22" s="53" t="str">
        <x:f>'Blind Review'!$Y$22</x:f>
        <x:v>Pending</x:v>
      </x:c>
      <x:c r="M22" s="53" t="str">
        <x:f>IF('Blind Review'!$W$22&lt;&gt;"",'Blind Review'!$W$22,"")</x:f>
      </x:c>
      <x:c r="N22" s="53" t="str">
        <x:f>IF('Blind Review'!$V$22&lt;&gt;"",'Blind Review'!$V$22,"")</x:f>
      </x:c>
    </x:row>
    <x:row r="23" ht="42" customHeight="1">
      <x:c r="A23" s="53" t="str">
        <x:f>'Blind Review'!$B$23</x:f>
        <x:v>G010-B</x:v>
      </x:c>
      <x:c r="B23" s="53" t="str">
        <x:f>'Blind Review'!$C$23</x:f>
        <x:v>G010</x:v>
      </x:c>
      <x:c r="C23" s="53" t="str">
        <x:f>'Blind Review'!$D$23</x:f>
        <x:v>MV-SERUM-001</x:v>
      </x:c>
      <x:c r="D23" s="53" t="str">
        <x:f>'Blind Review'!$E$23</x:f>
        <x:v>en-US</x:v>
      </x:c>
      <x:c r="E23" s="53" t="str">
        <x:f>'Blind Review'!$F$23</x:f>
        <x:v>short_video_script</x:v>
      </x:c>
      <x:c r="F23" s="53" t="str">
        <x:f>'Blind Review'!$G$23</x:f>
        <x:v>B</x:v>
      </x:c>
      <x:c r="G23" s="53" t="str">
        <x:f>IF(OR('Blind Review'!$Y$23="Reviewed",'Blind Review'!$Y$23="Failure"),'Blind Review'!$I$23,"")</x:f>
      </x:c>
      <x:c r="H23" s="59" t="str">
        <x:f>IF(OR('Blind Review'!$Y$23="Reviewed",'Blind Review'!$Y$23="Failure"),'Blind Review'!$X$23,"")</x:f>
      </x:c>
      <x:c r="I23" s="53" t="str">
        <x:f>IF(OR('Blind Review'!$Y$23="Reviewed",'Blind Review'!$Y$23="Failure"),'Blind Review'!$P$23,"")</x:f>
      </x:c>
      <x:c r="J23" s="53" t="str">
        <x:f>IF(OR('Blind Review'!$Y$23="Reviewed",'Blind Review'!$Y$23="Failure"),'Blind Review'!$Q$23,"")</x:f>
      </x:c>
      <x:c r="K23" s="53" t="str">
        <x:f>IF(OR('Blind Review'!$Y$23="Reviewed",'Blind Review'!$Y$23="Failure"),'Blind Review'!$R$23,"")</x:f>
      </x:c>
      <x:c r="L23" s="53" t="str">
        <x:f>'Blind Review'!$Y$23</x:f>
        <x:v>Pending</x:v>
      </x:c>
      <x:c r="M23" s="53" t="str">
        <x:f>IF('Blind Review'!$W$23&lt;&gt;"",'Blind Review'!$W$23,"")</x:f>
      </x:c>
      <x:c r="N23" s="53" t="str">
        <x:f>IF('Blind Review'!$V$23&lt;&gt;"",'Blind Review'!$V$23,"")</x:f>
      </x:c>
    </x:row>
    <x:row r="24" ht="42" customHeight="1">
      <x:c r="A24" s="53" t="str">
        <x:f>'Blind Review'!$B$24</x:f>
        <x:v>G011-A</x:v>
      </x:c>
      <x:c r="B24" s="53" t="str">
        <x:f>'Blind Review'!$C$24</x:f>
        <x:v>G011</x:v>
      </x:c>
      <x:c r="C24" s="53" t="str">
        <x:f>'Blind Review'!$D$24</x:f>
        <x:v>MV-CREAM-001</x:v>
      </x:c>
      <x:c r="D24" s="53" t="str">
        <x:f>'Blind Review'!$E$24</x:f>
        <x:v>es-MX</x:v>
      </x:c>
      <x:c r="E24" s="53" t="str">
        <x:f>'Blind Review'!$F$24</x:f>
        <x:v>social_ad_copy</x:v>
      </x:c>
      <x:c r="F24" s="53" t="str">
        <x:f>'Blind Review'!$G$24</x:f>
        <x:v>A</x:v>
      </x:c>
      <x:c r="G24" s="53" t="str">
        <x:f>IF(OR('Blind Review'!$Y$24="Reviewed",'Blind Review'!$Y$24="Failure"),'Blind Review'!$I$24,"")</x:f>
      </x:c>
      <x:c r="H24" s="59" t="str">
        <x:f>IF(OR('Blind Review'!$Y$24="Reviewed",'Blind Review'!$Y$24="Failure"),'Blind Review'!$X$24,"")</x:f>
      </x:c>
      <x:c r="I24" s="53" t="str">
        <x:f>IF(OR('Blind Review'!$Y$24="Reviewed",'Blind Review'!$Y$24="Failure"),'Blind Review'!$P$24,"")</x:f>
      </x:c>
      <x:c r="J24" s="53" t="str">
        <x:f>IF(OR('Blind Review'!$Y$24="Reviewed",'Blind Review'!$Y$24="Failure"),'Blind Review'!$Q$24,"")</x:f>
      </x:c>
      <x:c r="K24" s="53" t="str">
        <x:f>IF(OR('Blind Review'!$Y$24="Reviewed",'Blind Review'!$Y$24="Failure"),'Blind Review'!$R$24,"")</x:f>
      </x:c>
      <x:c r="L24" s="53" t="str">
        <x:f>'Blind Review'!$Y$24</x:f>
        <x:v>Pending</x:v>
      </x:c>
      <x:c r="M24" s="53" t="str">
        <x:f>IF('Blind Review'!$W$24&lt;&gt;"",'Blind Review'!$W$24,"")</x:f>
      </x:c>
      <x:c r="N24" s="53" t="str">
        <x:f>IF('Blind Review'!$V$24&lt;&gt;"",'Blind Review'!$V$24,"")</x:f>
      </x:c>
    </x:row>
    <x:row r="25" ht="42" customHeight="1">
      <x:c r="A25" s="53" t="str">
        <x:f>'Blind Review'!$B$25</x:f>
        <x:v>G011-B</x:v>
      </x:c>
      <x:c r="B25" s="53" t="str">
        <x:f>'Blind Review'!$C$25</x:f>
        <x:v>G011</x:v>
      </x:c>
      <x:c r="C25" s="53" t="str">
        <x:f>'Blind Review'!$D$25</x:f>
        <x:v>MV-CREAM-001</x:v>
      </x:c>
      <x:c r="D25" s="53" t="str">
        <x:f>'Blind Review'!$E$25</x:f>
        <x:v>es-MX</x:v>
      </x:c>
      <x:c r="E25" s="53" t="str">
        <x:f>'Blind Review'!$F$25</x:f>
        <x:v>social_ad_copy</x:v>
      </x:c>
      <x:c r="F25" s="53" t="str">
        <x:f>'Blind Review'!$G$25</x:f>
        <x:v>B</x:v>
      </x:c>
      <x:c r="G25" s="53" t="str">
        <x:f>IF(OR('Blind Review'!$Y$25="Reviewed",'Blind Review'!$Y$25="Failure"),'Blind Review'!$I$25,"")</x:f>
      </x:c>
      <x:c r="H25" s="59" t="str">
        <x:f>IF(OR('Blind Review'!$Y$25="Reviewed",'Blind Review'!$Y$25="Failure"),'Blind Review'!$X$25,"")</x:f>
      </x:c>
      <x:c r="I25" s="53" t="str">
        <x:f>IF(OR('Blind Review'!$Y$25="Reviewed",'Blind Review'!$Y$25="Failure"),'Blind Review'!$P$25,"")</x:f>
      </x:c>
      <x:c r="J25" s="53" t="str">
        <x:f>IF(OR('Blind Review'!$Y$25="Reviewed",'Blind Review'!$Y$25="Failure"),'Blind Review'!$Q$25,"")</x:f>
      </x:c>
      <x:c r="K25" s="53" t="str">
        <x:f>IF(OR('Blind Review'!$Y$25="Reviewed",'Blind Review'!$Y$25="Failure"),'Blind Review'!$R$25,"")</x:f>
      </x:c>
      <x:c r="L25" s="53" t="str">
        <x:f>'Blind Review'!$Y$25</x:f>
        <x:v>Pending</x:v>
      </x:c>
      <x:c r="M25" s="53" t="str">
        <x:f>IF('Blind Review'!$W$25&lt;&gt;"",'Blind Review'!$W$25,"")</x:f>
      </x:c>
      <x:c r="N25" s="53" t="str">
        <x:f>IF('Blind Review'!$V$25&lt;&gt;"",'Blind Review'!$V$25,"")</x:f>
      </x:c>
    </x:row>
    <x:row r="26" ht="42" customHeight="1">
      <x:c r="A26" s="53" t="str">
        <x:f>'Blind Review'!$B$26</x:f>
        <x:v>G012-A</x:v>
      </x:c>
      <x:c r="B26" s="53" t="str">
        <x:f>'Blind Review'!$C$26</x:f>
        <x:v>G012</x:v>
      </x:c>
      <x:c r="C26" s="53" t="str">
        <x:f>'Blind Review'!$D$26</x:f>
        <x:v>MV-CREAM-001</x:v>
      </x:c>
      <x:c r="D26" s="53" t="str">
        <x:f>'Blind Review'!$E$26</x:f>
        <x:v>es-MX</x:v>
      </x:c>
      <x:c r="E26" s="53" t="str">
        <x:f>'Blind Review'!$F$26</x:f>
        <x:v>short_video_script</x:v>
      </x:c>
      <x:c r="F26" s="53" t="str">
        <x:f>'Blind Review'!$G$26</x:f>
        <x:v>A</x:v>
      </x:c>
      <x:c r="G26" s="53" t="str">
        <x:f>IF(OR('Blind Review'!$Y$26="Reviewed",'Blind Review'!$Y$26="Failure"),'Blind Review'!$I$26,"")</x:f>
      </x:c>
      <x:c r="H26" s="59" t="str">
        <x:f>IF(OR('Blind Review'!$Y$26="Reviewed",'Blind Review'!$Y$26="Failure"),'Blind Review'!$X$26,"")</x:f>
      </x:c>
      <x:c r="I26" s="53" t="str">
        <x:f>IF(OR('Blind Review'!$Y$26="Reviewed",'Blind Review'!$Y$26="Failure"),'Blind Review'!$P$26,"")</x:f>
      </x:c>
      <x:c r="J26" s="53" t="str">
        <x:f>IF(OR('Blind Review'!$Y$26="Reviewed",'Blind Review'!$Y$26="Failure"),'Blind Review'!$Q$26,"")</x:f>
      </x:c>
      <x:c r="K26" s="53" t="str">
        <x:f>IF(OR('Blind Review'!$Y$26="Reviewed",'Blind Review'!$Y$26="Failure"),'Blind Review'!$R$26,"")</x:f>
      </x:c>
      <x:c r="L26" s="53" t="str">
        <x:f>'Blind Review'!$Y$26</x:f>
        <x:v>Pending</x:v>
      </x:c>
      <x:c r="M26" s="53" t="str">
        <x:f>IF('Blind Review'!$W$26&lt;&gt;"",'Blind Review'!$W$26,"")</x:f>
      </x:c>
      <x:c r="N26" s="53" t="str">
        <x:f>IF('Blind Review'!$V$26&lt;&gt;"",'Blind Review'!$V$26,"")</x:f>
      </x:c>
    </x:row>
    <x:row r="27" ht="42" customHeight="1">
      <x:c r="A27" s="53" t="str">
        <x:f>'Blind Review'!$B$27</x:f>
        <x:v>G012-B</x:v>
      </x:c>
      <x:c r="B27" s="53" t="str">
        <x:f>'Blind Review'!$C$27</x:f>
        <x:v>G012</x:v>
      </x:c>
      <x:c r="C27" s="53" t="str">
        <x:f>'Blind Review'!$D$27</x:f>
        <x:v>MV-CREAM-001</x:v>
      </x:c>
      <x:c r="D27" s="53" t="str">
        <x:f>'Blind Review'!$E$27</x:f>
        <x:v>es-MX</x:v>
      </x:c>
      <x:c r="E27" s="53" t="str">
        <x:f>'Blind Review'!$F$27</x:f>
        <x:v>short_video_script</x:v>
      </x:c>
      <x:c r="F27" s="53" t="str">
        <x:f>'Blind Review'!$G$27</x:f>
        <x:v>B</x:v>
      </x:c>
      <x:c r="G27" s="53" t="str">
        <x:f>IF(OR('Blind Review'!$Y$27="Reviewed",'Blind Review'!$Y$27="Failure"),'Blind Review'!$I$27,"")</x:f>
      </x:c>
      <x:c r="H27" s="59" t="str">
        <x:f>IF(OR('Blind Review'!$Y$27="Reviewed",'Blind Review'!$Y$27="Failure"),'Blind Review'!$X$27,"")</x:f>
      </x:c>
      <x:c r="I27" s="53" t="str">
        <x:f>IF(OR('Blind Review'!$Y$27="Reviewed",'Blind Review'!$Y$27="Failure"),'Blind Review'!$P$27,"")</x:f>
      </x:c>
      <x:c r="J27" s="53" t="str">
        <x:f>IF(OR('Blind Review'!$Y$27="Reviewed",'Blind Review'!$Y$27="Failure"),'Blind Review'!$Q$27,"")</x:f>
      </x:c>
      <x:c r="K27" s="53" t="str">
        <x:f>IF(OR('Blind Review'!$Y$27="Reviewed",'Blind Review'!$Y$27="Failure"),'Blind Review'!$R$27,"")</x:f>
      </x:c>
      <x:c r="L27" s="53" t="str">
        <x:f>'Blind Review'!$Y$27</x:f>
        <x:v>Pending</x:v>
      </x:c>
      <x:c r="M27" s="53" t="str">
        <x:f>IF('Blind Review'!$W$27&lt;&gt;"",'Blind Review'!$W$27,"")</x:f>
      </x:c>
      <x:c r="N27" s="53" t="str">
        <x:f>IF('Blind Review'!$V$27&lt;&gt;"",'Blind Review'!$V$27,"")</x:f>
      </x:c>
    </x:row>
    <x:row r="28" ht="42" customHeight="1">
      <x:c r="A28" s="53" t="str">
        <x:f>'Blind Review'!$B$28</x:f>
        <x:v>G013-A</x:v>
      </x:c>
      <x:c r="B28" s="53" t="str">
        <x:f>'Blind Review'!$C$28</x:f>
        <x:v>G013</x:v>
      </x:c>
      <x:c r="C28" s="53" t="str">
        <x:f>'Blind Review'!$D$28</x:f>
        <x:v>MV-CLEAN-001</x:v>
      </x:c>
      <x:c r="D28" s="53" t="str">
        <x:f>'Blind Review'!$E$28</x:f>
        <x:v>en-US</x:v>
      </x:c>
      <x:c r="E28" s="53" t="str">
        <x:f>'Blind Review'!$F$28</x:f>
        <x:v>short_video_script</x:v>
      </x:c>
      <x:c r="F28" s="53" t="str">
        <x:f>'Blind Review'!$G$28</x:f>
        <x:v>A</x:v>
      </x:c>
      <x:c r="G28" s="53" t="str">
        <x:f>IF(OR('Blind Review'!$Y$28="Reviewed",'Blind Review'!$Y$28="Failure"),'Blind Review'!$I$28,"")</x:f>
      </x:c>
      <x:c r="H28" s="59" t="str">
        <x:f>IF(OR('Blind Review'!$Y$28="Reviewed",'Blind Review'!$Y$28="Failure"),'Blind Review'!$X$28,"")</x:f>
      </x:c>
      <x:c r="I28" s="53" t="str">
        <x:f>IF(OR('Blind Review'!$Y$28="Reviewed",'Blind Review'!$Y$28="Failure"),'Blind Review'!$P$28,"")</x:f>
      </x:c>
      <x:c r="J28" s="53" t="str">
        <x:f>IF(OR('Blind Review'!$Y$28="Reviewed",'Blind Review'!$Y$28="Failure"),'Blind Review'!$Q$28,"")</x:f>
      </x:c>
      <x:c r="K28" s="53" t="str">
        <x:f>IF(OR('Blind Review'!$Y$28="Reviewed",'Blind Review'!$Y$28="Failure"),'Blind Review'!$R$28,"")</x:f>
      </x:c>
      <x:c r="L28" s="53" t="str">
        <x:f>'Blind Review'!$Y$28</x:f>
        <x:v>Pending</x:v>
      </x:c>
      <x:c r="M28" s="53" t="str">
        <x:f>IF('Blind Review'!$W$28&lt;&gt;"",'Blind Review'!$W$28,"")</x:f>
      </x:c>
      <x:c r="N28" s="53" t="str">
        <x:f>IF('Blind Review'!$V$28&lt;&gt;"",'Blind Review'!$V$28,"")</x:f>
      </x:c>
    </x:row>
    <x:row r="29" ht="42" customHeight="1">
      <x:c r="A29" s="53" t="str">
        <x:f>'Blind Review'!$B$29</x:f>
        <x:v>G013-B</x:v>
      </x:c>
      <x:c r="B29" s="53" t="str">
        <x:f>'Blind Review'!$C$29</x:f>
        <x:v>G013</x:v>
      </x:c>
      <x:c r="C29" s="53" t="str">
        <x:f>'Blind Review'!$D$29</x:f>
        <x:v>MV-CLEAN-001</x:v>
      </x:c>
      <x:c r="D29" s="53" t="str">
        <x:f>'Blind Review'!$E$29</x:f>
        <x:v>en-US</x:v>
      </x:c>
      <x:c r="E29" s="53" t="str">
        <x:f>'Blind Review'!$F$29</x:f>
        <x:v>short_video_script</x:v>
      </x:c>
      <x:c r="F29" s="53" t="str">
        <x:f>'Blind Review'!$G$29</x:f>
        <x:v>B</x:v>
      </x:c>
      <x:c r="G29" s="53" t="str">
        <x:f>IF(OR('Blind Review'!$Y$29="Reviewed",'Blind Review'!$Y$29="Failure"),'Blind Review'!$I$29,"")</x:f>
      </x:c>
      <x:c r="H29" s="59" t="str">
        <x:f>IF(OR('Blind Review'!$Y$29="Reviewed",'Blind Review'!$Y$29="Failure"),'Blind Review'!$X$29,"")</x:f>
      </x:c>
      <x:c r="I29" s="53" t="str">
        <x:f>IF(OR('Blind Review'!$Y$29="Reviewed",'Blind Review'!$Y$29="Failure"),'Blind Review'!$P$29,"")</x:f>
      </x:c>
      <x:c r="J29" s="53" t="str">
        <x:f>IF(OR('Blind Review'!$Y$29="Reviewed",'Blind Review'!$Y$29="Failure"),'Blind Review'!$Q$29,"")</x:f>
      </x:c>
      <x:c r="K29" s="53" t="str">
        <x:f>IF(OR('Blind Review'!$Y$29="Reviewed",'Blind Review'!$Y$29="Failure"),'Blind Review'!$R$29,"")</x:f>
      </x:c>
      <x:c r="L29" s="53" t="str">
        <x:f>'Blind Review'!$Y$29</x:f>
        <x:v>Pending</x:v>
      </x:c>
      <x:c r="M29" s="53" t="str">
        <x:f>IF('Blind Review'!$W$29&lt;&gt;"",'Blind Review'!$W$29,"")</x:f>
      </x:c>
      <x:c r="N29" s="53" t="str">
        <x:f>IF('Blind Review'!$V$29&lt;&gt;"",'Blind Review'!$V$29,"")</x:f>
      </x:c>
    </x:row>
    <x:row r="30" ht="42" customHeight="1">
      <x:c r="A30" s="53" t="str">
        <x:f>'Blind Review'!$B$30</x:f>
        <x:v>G014-A</x:v>
      </x:c>
      <x:c r="B30" s="53" t="str">
        <x:f>'Blind Review'!$C$30</x:f>
        <x:v>G014</x:v>
      </x:c>
      <x:c r="C30" s="53" t="str">
        <x:f>'Blind Review'!$D$30</x:f>
        <x:v>MV-SERUM-001</x:v>
      </x:c>
      <x:c r="D30" s="53" t="str">
        <x:f>'Blind Review'!$E$30</x:f>
        <x:v>es-MX</x:v>
      </x:c>
      <x:c r="E30" s="53" t="str">
        <x:f>'Blind Review'!$F$30</x:f>
        <x:v>social_ad_copy</x:v>
      </x:c>
      <x:c r="F30" s="53" t="str">
        <x:f>'Blind Review'!$G$30</x:f>
        <x:v>A</x:v>
      </x:c>
      <x:c r="G30" s="53" t="str">
        <x:f>IF(OR('Blind Review'!$Y$30="Reviewed",'Blind Review'!$Y$30="Failure"),'Blind Review'!$I$30,"")</x:f>
      </x:c>
      <x:c r="H30" s="59" t="str">
        <x:f>IF(OR('Blind Review'!$Y$30="Reviewed",'Blind Review'!$Y$30="Failure"),'Blind Review'!$X$30,"")</x:f>
      </x:c>
      <x:c r="I30" s="53" t="str">
        <x:f>IF(OR('Blind Review'!$Y$30="Reviewed",'Blind Review'!$Y$30="Failure"),'Blind Review'!$P$30,"")</x:f>
      </x:c>
      <x:c r="J30" s="53" t="str">
        <x:f>IF(OR('Blind Review'!$Y$30="Reviewed",'Blind Review'!$Y$30="Failure"),'Blind Review'!$Q$30,"")</x:f>
      </x:c>
      <x:c r="K30" s="53" t="str">
        <x:f>IF(OR('Blind Review'!$Y$30="Reviewed",'Blind Review'!$Y$30="Failure"),'Blind Review'!$R$30,"")</x:f>
      </x:c>
      <x:c r="L30" s="53" t="str">
        <x:f>'Blind Review'!$Y$30</x:f>
        <x:v>Pending</x:v>
      </x:c>
      <x:c r="M30" s="53" t="str">
        <x:f>IF('Blind Review'!$W$30&lt;&gt;"",'Blind Review'!$W$30,"")</x:f>
      </x:c>
      <x:c r="N30" s="53" t="str">
        <x:f>IF('Blind Review'!$V$30&lt;&gt;"",'Blind Review'!$V$30,"")</x:f>
      </x:c>
    </x:row>
    <x:row r="31" ht="42" customHeight="1">
      <x:c r="A31" s="53" t="str">
        <x:f>'Blind Review'!$B$31</x:f>
        <x:v>G014-B</x:v>
      </x:c>
      <x:c r="B31" s="53" t="str">
        <x:f>'Blind Review'!$C$31</x:f>
        <x:v>G014</x:v>
      </x:c>
      <x:c r="C31" s="53" t="str">
        <x:f>'Blind Review'!$D$31</x:f>
        <x:v>MV-SERUM-001</x:v>
      </x:c>
      <x:c r="D31" s="53" t="str">
        <x:f>'Blind Review'!$E$31</x:f>
        <x:v>es-MX</x:v>
      </x:c>
      <x:c r="E31" s="53" t="str">
        <x:f>'Blind Review'!$F$31</x:f>
        <x:v>social_ad_copy</x:v>
      </x:c>
      <x:c r="F31" s="53" t="str">
        <x:f>'Blind Review'!$G$31</x:f>
        <x:v>B</x:v>
      </x:c>
      <x:c r="G31" s="53" t="str">
        <x:f>IF(OR('Blind Review'!$Y$31="Reviewed",'Blind Review'!$Y$31="Failure"),'Blind Review'!$I$31,"")</x:f>
      </x:c>
      <x:c r="H31" s="59" t="str">
        <x:f>IF(OR('Blind Review'!$Y$31="Reviewed",'Blind Review'!$Y$31="Failure"),'Blind Review'!$X$31,"")</x:f>
      </x:c>
      <x:c r="I31" s="53" t="str">
        <x:f>IF(OR('Blind Review'!$Y$31="Reviewed",'Blind Review'!$Y$31="Failure"),'Blind Review'!$P$31,"")</x:f>
      </x:c>
      <x:c r="J31" s="53" t="str">
        <x:f>IF(OR('Blind Review'!$Y$31="Reviewed",'Blind Review'!$Y$31="Failure"),'Blind Review'!$Q$31,"")</x:f>
      </x:c>
      <x:c r="K31" s="53" t="str">
        <x:f>IF(OR('Blind Review'!$Y$31="Reviewed",'Blind Review'!$Y$31="Failure"),'Blind Review'!$R$31,"")</x:f>
      </x:c>
      <x:c r="L31" s="53" t="str">
        <x:f>'Blind Review'!$Y$31</x:f>
        <x:v>Pending</x:v>
      </x:c>
      <x:c r="M31" s="53" t="str">
        <x:f>IF('Blind Review'!$W$31&lt;&gt;"",'Blind Review'!$W$31,"")</x:f>
      </x:c>
      <x:c r="N31" s="53" t="str">
        <x:f>IF('Blind Review'!$V$31&lt;&gt;"",'Blind Review'!$V$31,"")</x:f>
      </x:c>
    </x:row>
    <x:row r="32" ht="42" customHeight="1">
      <x:c r="A32" s="53" t="str">
        <x:f>'Blind Review'!$B$32</x:f>
        <x:v>G015-A</x:v>
      </x:c>
      <x:c r="B32" s="53" t="str">
        <x:f>'Blind Review'!$C$32</x:f>
        <x:v>G015</x:v>
      </x:c>
      <x:c r="C32" s="53" t="str">
        <x:f>'Blind Review'!$D$32</x:f>
        <x:v>MV-KIT-001</x:v>
      </x:c>
      <x:c r="D32" s="53" t="str">
        <x:f>'Blind Review'!$E$32</x:f>
        <x:v>es-MX</x:v>
      </x:c>
      <x:c r="E32" s="53" t="str">
        <x:f>'Blind Review'!$F$32</x:f>
        <x:v>product_listing</x:v>
      </x:c>
      <x:c r="F32" s="53" t="str">
        <x:f>'Blind Review'!$G$32</x:f>
        <x:v>A</x:v>
      </x:c>
      <x:c r="G32" s="53" t="str">
        <x:f>IF(OR('Blind Review'!$Y$32="Reviewed",'Blind Review'!$Y$32="Failure"),'Blind Review'!$I$32,"")</x:f>
      </x:c>
      <x:c r="H32" s="59" t="str">
        <x:f>IF(OR('Blind Review'!$Y$32="Reviewed",'Blind Review'!$Y$32="Failure"),'Blind Review'!$X$32,"")</x:f>
      </x:c>
      <x:c r="I32" s="53" t="str">
        <x:f>IF(OR('Blind Review'!$Y$32="Reviewed",'Blind Review'!$Y$32="Failure"),'Blind Review'!$P$32,"")</x:f>
      </x:c>
      <x:c r="J32" s="53" t="str">
        <x:f>IF(OR('Blind Review'!$Y$32="Reviewed",'Blind Review'!$Y$32="Failure"),'Blind Review'!$Q$32,"")</x:f>
      </x:c>
      <x:c r="K32" s="53" t="str">
        <x:f>IF(OR('Blind Review'!$Y$32="Reviewed",'Blind Review'!$Y$32="Failure"),'Blind Review'!$R$32,"")</x:f>
      </x:c>
      <x:c r="L32" s="53" t="str">
        <x:f>'Blind Review'!$Y$32</x:f>
        <x:v>Pending</x:v>
      </x:c>
      <x:c r="M32" s="53" t="str">
        <x:f>IF('Blind Review'!$W$32&lt;&gt;"",'Blind Review'!$W$32,"")</x:f>
      </x:c>
      <x:c r="N32" s="53" t="str">
        <x:f>IF('Blind Review'!$V$32&lt;&gt;"",'Blind Review'!$V$32,"")</x:f>
      </x:c>
    </x:row>
    <x:row r="33" ht="42" customHeight="1">
      <x:c r="A33" s="53" t="str">
        <x:f>'Blind Review'!$B$33</x:f>
        <x:v>G015-B</x:v>
      </x:c>
      <x:c r="B33" s="53" t="str">
        <x:f>'Blind Review'!$C$33</x:f>
        <x:v>G015</x:v>
      </x:c>
      <x:c r="C33" s="53" t="str">
        <x:f>'Blind Review'!$D$33</x:f>
        <x:v>MV-KIT-001</x:v>
      </x:c>
      <x:c r="D33" s="53" t="str">
        <x:f>'Blind Review'!$E$33</x:f>
        <x:v>es-MX</x:v>
      </x:c>
      <x:c r="E33" s="53" t="str">
        <x:f>'Blind Review'!$F$33</x:f>
        <x:v>product_listing</x:v>
      </x:c>
      <x:c r="F33" s="53" t="str">
        <x:f>'Blind Review'!$G$33</x:f>
        <x:v>B</x:v>
      </x:c>
      <x:c r="G33" s="53" t="str">
        <x:f>IF(OR('Blind Review'!$Y$33="Reviewed",'Blind Review'!$Y$33="Failure"),'Blind Review'!$I$33,"")</x:f>
      </x:c>
      <x:c r="H33" s="59" t="str">
        <x:f>IF(OR('Blind Review'!$Y$33="Reviewed",'Blind Review'!$Y$33="Failure"),'Blind Review'!$X$33,"")</x:f>
      </x:c>
      <x:c r="I33" s="53" t="str">
        <x:f>IF(OR('Blind Review'!$Y$33="Reviewed",'Blind Review'!$Y$33="Failure"),'Blind Review'!$P$33,"")</x:f>
      </x:c>
      <x:c r="J33" s="53" t="str">
        <x:f>IF(OR('Blind Review'!$Y$33="Reviewed",'Blind Review'!$Y$33="Failure"),'Blind Review'!$Q$33,"")</x:f>
      </x:c>
      <x:c r="K33" s="53" t="str">
        <x:f>IF(OR('Blind Review'!$Y$33="Reviewed",'Blind Review'!$Y$33="Failure"),'Blind Review'!$R$33,"")</x:f>
      </x:c>
      <x:c r="L33" s="53" t="str">
        <x:f>'Blind Review'!$Y$33</x:f>
        <x:v>Pending</x:v>
      </x:c>
      <x:c r="M33" s="53" t="str">
        <x:f>IF('Blind Review'!$W$33&lt;&gt;"",'Blind Review'!$W$33,"")</x:f>
      </x:c>
      <x:c r="N33" s="53" t="str">
        <x:f>IF('Blind Review'!$V$33&lt;&gt;"",'Blind Review'!$V$33,"")</x:f>
      </x:c>
    </x:row>
    <x:row r="34" ht="42" customHeight="1">
      <x:c r="A34" s="53" t="str">
        <x:f>'Blind Review'!$B$34</x:f>
        <x:v>G016-A</x:v>
      </x:c>
      <x:c r="B34" s="53" t="str">
        <x:f>'Blind Review'!$C$34</x:f>
        <x:v>G016</x:v>
      </x:c>
      <x:c r="C34" s="53" t="str">
        <x:f>'Blind Review'!$D$34</x:f>
        <x:v>MV-KIT-001</x:v>
      </x:c>
      <x:c r="D34" s="53" t="str">
        <x:f>'Blind Review'!$E$34</x:f>
        <x:v>en-US</x:v>
      </x:c>
      <x:c r="E34" s="53" t="str">
        <x:f>'Blind Review'!$F$34</x:f>
        <x:v>product_listing</x:v>
      </x:c>
      <x:c r="F34" s="53" t="str">
        <x:f>'Blind Review'!$G$34</x:f>
        <x:v>A</x:v>
      </x:c>
      <x:c r="G34" s="53" t="str">
        <x:f>IF(OR('Blind Review'!$Y$34="Reviewed",'Blind Review'!$Y$34="Failure"),'Blind Review'!$I$34,"")</x:f>
      </x:c>
      <x:c r="H34" s="59" t="str">
        <x:f>IF(OR('Blind Review'!$Y$34="Reviewed",'Blind Review'!$Y$34="Failure"),'Blind Review'!$X$34,"")</x:f>
      </x:c>
      <x:c r="I34" s="53" t="str">
        <x:f>IF(OR('Blind Review'!$Y$34="Reviewed",'Blind Review'!$Y$34="Failure"),'Blind Review'!$P$34,"")</x:f>
      </x:c>
      <x:c r="J34" s="53" t="str">
        <x:f>IF(OR('Blind Review'!$Y$34="Reviewed",'Blind Review'!$Y$34="Failure"),'Blind Review'!$Q$34,"")</x:f>
      </x:c>
      <x:c r="K34" s="53" t="str">
        <x:f>IF(OR('Blind Review'!$Y$34="Reviewed",'Blind Review'!$Y$34="Failure"),'Blind Review'!$R$34,"")</x:f>
      </x:c>
      <x:c r="L34" s="53" t="str">
        <x:f>'Blind Review'!$Y$34</x:f>
        <x:v>Pending</x:v>
      </x:c>
      <x:c r="M34" s="53" t="str">
        <x:f>IF('Blind Review'!$W$34&lt;&gt;"",'Blind Review'!$W$34,"")</x:f>
      </x:c>
      <x:c r="N34" s="53" t="str">
        <x:f>IF('Blind Review'!$V$34&lt;&gt;"",'Blind Review'!$V$34,"")</x:f>
      </x:c>
    </x:row>
    <x:row r="35" ht="42" customHeight="1">
      <x:c r="A35" s="53" t="str">
        <x:f>'Blind Review'!$B$35</x:f>
        <x:v>G016-B</x:v>
      </x:c>
      <x:c r="B35" s="53" t="str">
        <x:f>'Blind Review'!$C$35</x:f>
        <x:v>G016</x:v>
      </x:c>
      <x:c r="C35" s="53" t="str">
        <x:f>'Blind Review'!$D$35</x:f>
        <x:v>MV-KIT-001</x:v>
      </x:c>
      <x:c r="D35" s="53" t="str">
        <x:f>'Blind Review'!$E$35</x:f>
        <x:v>en-US</x:v>
      </x:c>
      <x:c r="E35" s="53" t="str">
        <x:f>'Blind Review'!$F$35</x:f>
        <x:v>product_listing</x:v>
      </x:c>
      <x:c r="F35" s="53" t="str">
        <x:f>'Blind Review'!$G$35</x:f>
        <x:v>B</x:v>
      </x:c>
      <x:c r="G35" s="53" t="str">
        <x:f>IF(OR('Blind Review'!$Y$35="Reviewed",'Blind Review'!$Y$35="Failure"),'Blind Review'!$I$35,"")</x:f>
      </x:c>
      <x:c r="H35" s="59" t="str">
        <x:f>IF(OR('Blind Review'!$Y$35="Reviewed",'Blind Review'!$Y$35="Failure"),'Blind Review'!$X$35,"")</x:f>
      </x:c>
      <x:c r="I35" s="53" t="str">
        <x:f>IF(OR('Blind Review'!$Y$35="Reviewed",'Blind Review'!$Y$35="Failure"),'Blind Review'!$P$35,"")</x:f>
      </x:c>
      <x:c r="J35" s="53" t="str">
        <x:f>IF(OR('Blind Review'!$Y$35="Reviewed",'Blind Review'!$Y$35="Failure"),'Blind Review'!$Q$35,"")</x:f>
      </x:c>
      <x:c r="K35" s="53" t="str">
        <x:f>IF(OR('Blind Review'!$Y$35="Reviewed",'Blind Review'!$Y$35="Failure"),'Blind Review'!$R$35,"")</x:f>
      </x:c>
      <x:c r="L35" s="53" t="str">
        <x:f>'Blind Review'!$Y$35</x:f>
        <x:v>Pending</x:v>
      </x:c>
      <x:c r="M35" s="53" t="str">
        <x:f>IF('Blind Review'!$W$35&lt;&gt;"",'Blind Review'!$W$35,"")</x:f>
      </x:c>
      <x:c r="N35" s="53" t="str">
        <x:f>IF('Blind Review'!$V$35&lt;&gt;"",'Blind Review'!$V$35,"")</x:f>
      </x:c>
    </x:row>
    <x:row r="36" ht="42" customHeight="1">
      <x:c r="A36" s="53" t="str">
        <x:f>'Blind Review'!$B$36</x:f>
        <x:v>G017-A</x:v>
      </x:c>
      <x:c r="B36" s="53" t="str">
        <x:f>'Blind Review'!$C$36</x:f>
        <x:v>G017</x:v>
      </x:c>
      <x:c r="C36" s="53" t="str">
        <x:f>'Blind Review'!$D$36</x:f>
        <x:v>MV-CREAM-001</x:v>
      </x:c>
      <x:c r="D36" s="53" t="str">
        <x:f>'Blind Review'!$E$36</x:f>
        <x:v>en-US</x:v>
      </x:c>
      <x:c r="E36" s="53" t="str">
        <x:f>'Blind Review'!$F$36</x:f>
        <x:v>product_listing</x:v>
      </x:c>
      <x:c r="F36" s="53" t="str">
        <x:f>'Blind Review'!$G$36</x:f>
        <x:v>A</x:v>
      </x:c>
      <x:c r="G36" s="53" t="str">
        <x:f>IF(OR('Blind Review'!$Y$36="Reviewed",'Blind Review'!$Y$36="Failure"),'Blind Review'!$I$36,"")</x:f>
      </x:c>
      <x:c r="H36" s="59" t="str">
        <x:f>IF(OR('Blind Review'!$Y$36="Reviewed",'Blind Review'!$Y$36="Failure"),'Blind Review'!$X$36,"")</x:f>
      </x:c>
      <x:c r="I36" s="53" t="str">
        <x:f>IF(OR('Blind Review'!$Y$36="Reviewed",'Blind Review'!$Y$36="Failure"),'Blind Review'!$P$36,"")</x:f>
      </x:c>
      <x:c r="J36" s="53" t="str">
        <x:f>IF(OR('Blind Review'!$Y$36="Reviewed",'Blind Review'!$Y$36="Failure"),'Blind Review'!$Q$36,"")</x:f>
      </x:c>
      <x:c r="K36" s="53" t="str">
        <x:f>IF(OR('Blind Review'!$Y$36="Reviewed",'Blind Review'!$Y$36="Failure"),'Blind Review'!$R$36,"")</x:f>
      </x:c>
      <x:c r="L36" s="53" t="str">
        <x:f>'Blind Review'!$Y$36</x:f>
        <x:v>Pending</x:v>
      </x:c>
      <x:c r="M36" s="53" t="str">
        <x:f>IF('Blind Review'!$W$36&lt;&gt;"",'Blind Review'!$W$36,"")</x:f>
      </x:c>
      <x:c r="N36" s="53" t="str">
        <x:f>IF('Blind Review'!$V$36&lt;&gt;"",'Blind Review'!$V$36,"")</x:f>
      </x:c>
    </x:row>
    <x:row r="37" ht="42" customHeight="1">
      <x:c r="A37" s="53" t="str">
        <x:f>'Blind Review'!$B$37</x:f>
        <x:v>G017-B</x:v>
      </x:c>
      <x:c r="B37" s="53" t="str">
        <x:f>'Blind Review'!$C$37</x:f>
        <x:v>G017</x:v>
      </x:c>
      <x:c r="C37" s="53" t="str">
        <x:f>'Blind Review'!$D$37</x:f>
        <x:v>MV-CREAM-001</x:v>
      </x:c>
      <x:c r="D37" s="53" t="str">
        <x:f>'Blind Review'!$E$37</x:f>
        <x:v>en-US</x:v>
      </x:c>
      <x:c r="E37" s="53" t="str">
        <x:f>'Blind Review'!$F$37</x:f>
        <x:v>product_listing</x:v>
      </x:c>
      <x:c r="F37" s="53" t="str">
        <x:f>'Blind Review'!$G$37</x:f>
        <x:v>B</x:v>
      </x:c>
      <x:c r="G37" s="53" t="str">
        <x:f>IF(OR('Blind Review'!$Y$37="Reviewed",'Blind Review'!$Y$37="Failure"),'Blind Review'!$I$37,"")</x:f>
      </x:c>
      <x:c r="H37" s="59" t="str">
        <x:f>IF(OR('Blind Review'!$Y$37="Reviewed",'Blind Review'!$Y$37="Failure"),'Blind Review'!$X$37,"")</x:f>
      </x:c>
      <x:c r="I37" s="53" t="str">
        <x:f>IF(OR('Blind Review'!$Y$37="Reviewed",'Blind Review'!$Y$37="Failure"),'Blind Review'!$P$37,"")</x:f>
      </x:c>
      <x:c r="J37" s="53" t="str">
        <x:f>IF(OR('Blind Review'!$Y$37="Reviewed",'Blind Review'!$Y$37="Failure"),'Blind Review'!$Q$37,"")</x:f>
      </x:c>
      <x:c r="K37" s="53" t="str">
        <x:f>IF(OR('Blind Review'!$Y$37="Reviewed",'Blind Review'!$Y$37="Failure"),'Blind Review'!$R$37,"")</x:f>
      </x:c>
      <x:c r="L37" s="53" t="str">
        <x:f>'Blind Review'!$Y$37</x:f>
        <x:v>Pending</x:v>
      </x:c>
      <x:c r="M37" s="53" t="str">
        <x:f>IF('Blind Review'!$W$37&lt;&gt;"",'Blind Review'!$W$37,"")</x:f>
      </x:c>
      <x:c r="N37" s="53" t="str">
        <x:f>IF('Blind Review'!$V$37&lt;&gt;"",'Blind Review'!$V$37,"")</x:f>
      </x:c>
    </x:row>
    <x:row r="38" ht="42" customHeight="1">
      <x:c r="A38" s="53" t="str">
        <x:f>'Blind Review'!$B$38</x:f>
        <x:v>G018-A</x:v>
      </x:c>
      <x:c r="B38" s="53" t="str">
        <x:f>'Blind Review'!$C$38</x:f>
        <x:v>G018</x:v>
      </x:c>
      <x:c r="C38" s="53" t="str">
        <x:f>'Blind Review'!$D$38</x:f>
        <x:v>MV-SERUM-001</x:v>
      </x:c>
      <x:c r="D38" s="53" t="str">
        <x:f>'Blind Review'!$E$38</x:f>
        <x:v>en-US</x:v>
      </x:c>
      <x:c r="E38" s="53" t="str">
        <x:f>'Blind Review'!$F$38</x:f>
        <x:v>product_listing</x:v>
      </x:c>
      <x:c r="F38" s="53" t="str">
        <x:f>'Blind Review'!$G$38</x:f>
        <x:v>A</x:v>
      </x:c>
      <x:c r="G38" s="53" t="str">
        <x:f>IF(OR('Blind Review'!$Y$38="Reviewed",'Blind Review'!$Y$38="Failure"),'Blind Review'!$I$38,"")</x:f>
      </x:c>
      <x:c r="H38" s="59" t="str">
        <x:f>IF(OR('Blind Review'!$Y$38="Reviewed",'Blind Review'!$Y$38="Failure"),'Blind Review'!$X$38,"")</x:f>
      </x:c>
      <x:c r="I38" s="53" t="str">
        <x:f>IF(OR('Blind Review'!$Y$38="Reviewed",'Blind Review'!$Y$38="Failure"),'Blind Review'!$P$38,"")</x:f>
      </x:c>
      <x:c r="J38" s="53" t="str">
        <x:f>IF(OR('Blind Review'!$Y$38="Reviewed",'Blind Review'!$Y$38="Failure"),'Blind Review'!$Q$38,"")</x:f>
      </x:c>
      <x:c r="K38" s="53" t="str">
        <x:f>IF(OR('Blind Review'!$Y$38="Reviewed",'Blind Review'!$Y$38="Failure"),'Blind Review'!$R$38,"")</x:f>
      </x:c>
      <x:c r="L38" s="53" t="str">
        <x:f>'Blind Review'!$Y$38</x:f>
        <x:v>Pending</x:v>
      </x:c>
      <x:c r="M38" s="53" t="str">
        <x:f>IF('Blind Review'!$W$38&lt;&gt;"",'Blind Review'!$W$38,"")</x:f>
      </x:c>
      <x:c r="N38" s="53" t="str">
        <x:f>IF('Blind Review'!$V$38&lt;&gt;"",'Blind Review'!$V$38,"")</x:f>
      </x:c>
    </x:row>
    <x:row r="39" ht="42" customHeight="1">
      <x:c r="A39" s="53" t="str">
        <x:f>'Blind Review'!$B$39</x:f>
        <x:v>G018-B</x:v>
      </x:c>
      <x:c r="B39" s="53" t="str">
        <x:f>'Blind Review'!$C$39</x:f>
        <x:v>G018</x:v>
      </x:c>
      <x:c r="C39" s="53" t="str">
        <x:f>'Blind Review'!$D$39</x:f>
        <x:v>MV-SERUM-001</x:v>
      </x:c>
      <x:c r="D39" s="53" t="str">
        <x:f>'Blind Review'!$E$39</x:f>
        <x:v>en-US</x:v>
      </x:c>
      <x:c r="E39" s="53" t="str">
        <x:f>'Blind Review'!$F$39</x:f>
        <x:v>product_listing</x:v>
      </x:c>
      <x:c r="F39" s="53" t="str">
        <x:f>'Blind Review'!$G$39</x:f>
        <x:v>B</x:v>
      </x:c>
      <x:c r="G39" s="53" t="str">
        <x:f>IF(OR('Blind Review'!$Y$39="Reviewed",'Blind Review'!$Y$39="Failure"),'Blind Review'!$I$39,"")</x:f>
      </x:c>
      <x:c r="H39" s="59" t="str">
        <x:f>IF(OR('Blind Review'!$Y$39="Reviewed",'Blind Review'!$Y$39="Failure"),'Blind Review'!$X$39,"")</x:f>
      </x:c>
      <x:c r="I39" s="53" t="str">
        <x:f>IF(OR('Blind Review'!$Y$39="Reviewed",'Blind Review'!$Y$39="Failure"),'Blind Review'!$P$39,"")</x:f>
      </x:c>
      <x:c r="J39" s="53" t="str">
        <x:f>IF(OR('Blind Review'!$Y$39="Reviewed",'Blind Review'!$Y$39="Failure"),'Blind Review'!$Q$39,"")</x:f>
      </x:c>
      <x:c r="K39" s="53" t="str">
        <x:f>IF(OR('Blind Review'!$Y$39="Reviewed",'Blind Review'!$Y$39="Failure"),'Blind Review'!$R$39,"")</x:f>
      </x:c>
      <x:c r="L39" s="53" t="str">
        <x:f>'Blind Review'!$Y$39</x:f>
        <x:v>Pending</x:v>
      </x:c>
      <x:c r="M39" s="53" t="str">
        <x:f>IF('Blind Review'!$W$39&lt;&gt;"",'Blind Review'!$W$39,"")</x:f>
      </x:c>
      <x:c r="N39" s="53" t="str">
        <x:f>IF('Blind Review'!$V$39&lt;&gt;"",'Blind Review'!$V$39,"")</x:f>
      </x:c>
    </x:row>
    <x:row r="40" ht="42" customHeight="1">
      <x:c r="A40" s="53" t="str">
        <x:f>'Blind Review'!$B$40</x:f>
        <x:v>G019-A</x:v>
      </x:c>
      <x:c r="B40" s="53" t="str">
        <x:f>'Blind Review'!$C$40</x:f>
        <x:v>G019</x:v>
      </x:c>
      <x:c r="C40" s="53" t="str">
        <x:f>'Blind Review'!$D$40</x:f>
        <x:v>MV-HAND-001</x:v>
      </x:c>
      <x:c r="D40" s="53" t="str">
        <x:f>'Blind Review'!$E$40</x:f>
        <x:v>en-US</x:v>
      </x:c>
      <x:c r="E40" s="53" t="str">
        <x:f>'Blind Review'!$F$40</x:f>
        <x:v>social_ad_copy</x:v>
      </x:c>
      <x:c r="F40" s="53" t="str">
        <x:f>'Blind Review'!$G$40</x:f>
        <x:v>A</x:v>
      </x:c>
      <x:c r="G40" s="53" t="str">
        <x:f>IF(OR('Blind Review'!$Y$40="Reviewed",'Blind Review'!$Y$40="Failure"),'Blind Review'!$I$40,"")</x:f>
      </x:c>
      <x:c r="H40" s="59" t="str">
        <x:f>IF(OR('Blind Review'!$Y$40="Reviewed",'Blind Review'!$Y$40="Failure"),'Blind Review'!$X$40,"")</x:f>
      </x:c>
      <x:c r="I40" s="53" t="str">
        <x:f>IF(OR('Blind Review'!$Y$40="Reviewed",'Blind Review'!$Y$40="Failure"),'Blind Review'!$P$40,"")</x:f>
      </x:c>
      <x:c r="J40" s="53" t="str">
        <x:f>IF(OR('Blind Review'!$Y$40="Reviewed",'Blind Review'!$Y$40="Failure"),'Blind Review'!$Q$40,"")</x:f>
      </x:c>
      <x:c r="K40" s="53" t="str">
        <x:f>IF(OR('Blind Review'!$Y$40="Reviewed",'Blind Review'!$Y$40="Failure"),'Blind Review'!$R$40,"")</x:f>
      </x:c>
      <x:c r="L40" s="53" t="str">
        <x:f>'Blind Review'!$Y$40</x:f>
        <x:v>Pending</x:v>
      </x:c>
      <x:c r="M40" s="53" t="str">
        <x:f>IF('Blind Review'!$W$40&lt;&gt;"",'Blind Review'!$W$40,"")</x:f>
      </x:c>
      <x:c r="N40" s="53" t="str">
        <x:f>IF('Blind Review'!$V$40&lt;&gt;"",'Blind Review'!$V$40,"")</x:f>
      </x:c>
    </x:row>
    <x:row r="41" ht="42" customHeight="1">
      <x:c r="A41" s="53" t="str">
        <x:f>'Blind Review'!$B$41</x:f>
        <x:v>G019-B</x:v>
      </x:c>
      <x:c r="B41" s="53" t="str">
        <x:f>'Blind Review'!$C$41</x:f>
        <x:v>G019</x:v>
      </x:c>
      <x:c r="C41" s="53" t="str">
        <x:f>'Blind Review'!$D$41</x:f>
        <x:v>MV-HAND-001</x:v>
      </x:c>
      <x:c r="D41" s="53" t="str">
        <x:f>'Blind Review'!$E$41</x:f>
        <x:v>en-US</x:v>
      </x:c>
      <x:c r="E41" s="53" t="str">
        <x:f>'Blind Review'!$F$41</x:f>
        <x:v>social_ad_copy</x:v>
      </x:c>
      <x:c r="F41" s="53" t="str">
        <x:f>'Blind Review'!$G$41</x:f>
        <x:v>B</x:v>
      </x:c>
      <x:c r="G41" s="53" t="str">
        <x:f>IF(OR('Blind Review'!$Y$41="Reviewed",'Blind Review'!$Y$41="Failure"),'Blind Review'!$I$41,"")</x:f>
      </x:c>
      <x:c r="H41" s="59" t="str">
        <x:f>IF(OR('Blind Review'!$Y$41="Reviewed",'Blind Review'!$Y$41="Failure"),'Blind Review'!$X$41,"")</x:f>
      </x:c>
      <x:c r="I41" s="53" t="str">
        <x:f>IF(OR('Blind Review'!$Y$41="Reviewed",'Blind Review'!$Y$41="Failure"),'Blind Review'!$P$41,"")</x:f>
      </x:c>
      <x:c r="J41" s="53" t="str">
        <x:f>IF(OR('Blind Review'!$Y$41="Reviewed",'Blind Review'!$Y$41="Failure"),'Blind Review'!$Q$41,"")</x:f>
      </x:c>
      <x:c r="K41" s="53" t="str">
        <x:f>IF(OR('Blind Review'!$Y$41="Reviewed",'Blind Review'!$Y$41="Failure"),'Blind Review'!$R$41,"")</x:f>
      </x:c>
      <x:c r="L41" s="53" t="str">
        <x:f>'Blind Review'!$Y$41</x:f>
        <x:v>Pending</x:v>
      </x:c>
      <x:c r="M41" s="53" t="str">
        <x:f>IF('Blind Review'!$W$41&lt;&gt;"",'Blind Review'!$W$41,"")</x:f>
      </x:c>
      <x:c r="N41" s="53" t="str">
        <x:f>IF('Blind Review'!$V$41&lt;&gt;"",'Blind Review'!$V$41,"")</x:f>
      </x:c>
    </x:row>
    <x:row r="42" ht="42" customHeight="1">
      <x:c r="A42" s="53" t="str">
        <x:f>'Blind Review'!$B$42</x:f>
        <x:v>G020-A</x:v>
      </x:c>
      <x:c r="B42" s="53" t="str">
        <x:f>'Blind Review'!$C$42</x:f>
        <x:v>G020</x:v>
      </x:c>
      <x:c r="C42" s="53" t="str">
        <x:f>'Blind Review'!$D$42</x:f>
        <x:v>MV-CLEAN-001</x:v>
      </x:c>
      <x:c r="D42" s="53" t="str">
        <x:f>'Blind Review'!$E$42</x:f>
        <x:v>es-MX</x:v>
      </x:c>
      <x:c r="E42" s="53" t="str">
        <x:f>'Blind Review'!$F$42</x:f>
        <x:v>product_listing</x:v>
      </x:c>
      <x:c r="F42" s="53" t="str">
        <x:f>'Blind Review'!$G$42</x:f>
        <x:v>A</x:v>
      </x:c>
      <x:c r="G42" s="53" t="str">
        <x:f>IF(OR('Blind Review'!$Y$42="Reviewed",'Blind Review'!$Y$42="Failure"),'Blind Review'!$I$42,"")</x:f>
      </x:c>
      <x:c r="H42" s="59" t="str">
        <x:f>IF(OR('Blind Review'!$Y$42="Reviewed",'Blind Review'!$Y$42="Failure"),'Blind Review'!$X$42,"")</x:f>
      </x:c>
      <x:c r="I42" s="53" t="str">
        <x:f>IF(OR('Blind Review'!$Y$42="Reviewed",'Blind Review'!$Y$42="Failure"),'Blind Review'!$P$42,"")</x:f>
      </x:c>
      <x:c r="J42" s="53" t="str">
        <x:f>IF(OR('Blind Review'!$Y$42="Reviewed",'Blind Review'!$Y$42="Failure"),'Blind Review'!$Q$42,"")</x:f>
      </x:c>
      <x:c r="K42" s="53" t="str">
        <x:f>IF(OR('Blind Review'!$Y$42="Reviewed",'Blind Review'!$Y$42="Failure"),'Blind Review'!$R$42,"")</x:f>
      </x:c>
      <x:c r="L42" s="53" t="str">
        <x:f>'Blind Review'!$Y$42</x:f>
        <x:v>Pending</x:v>
      </x:c>
      <x:c r="M42" s="53" t="str">
        <x:f>IF('Blind Review'!$W$42&lt;&gt;"",'Blind Review'!$W$42,"")</x:f>
      </x:c>
      <x:c r="N42" s="53" t="str">
        <x:f>IF('Blind Review'!$V$42&lt;&gt;"",'Blind Review'!$V$42,"")</x:f>
      </x:c>
    </x:row>
    <x:row r="43" ht="42" customHeight="1">
      <x:c r="A43" s="53" t="str">
        <x:f>'Blind Review'!$B$43</x:f>
        <x:v>G020-B</x:v>
      </x:c>
      <x:c r="B43" s="53" t="str">
        <x:f>'Blind Review'!$C$43</x:f>
        <x:v>G020</x:v>
      </x:c>
      <x:c r="C43" s="53" t="str">
        <x:f>'Blind Review'!$D$43</x:f>
        <x:v>MV-CLEAN-001</x:v>
      </x:c>
      <x:c r="D43" s="53" t="str">
        <x:f>'Blind Review'!$E$43</x:f>
        <x:v>es-MX</x:v>
      </x:c>
      <x:c r="E43" s="53" t="str">
        <x:f>'Blind Review'!$F$43</x:f>
        <x:v>product_listing</x:v>
      </x:c>
      <x:c r="F43" s="53" t="str">
        <x:f>'Blind Review'!$G$43</x:f>
        <x:v>B</x:v>
      </x:c>
      <x:c r="G43" s="53" t="str">
        <x:f>IF(OR('Blind Review'!$Y$43="Reviewed",'Blind Review'!$Y$43="Failure"),'Blind Review'!$I$43,"")</x:f>
      </x:c>
      <x:c r="H43" s="59" t="str">
        <x:f>IF(OR('Blind Review'!$Y$43="Reviewed",'Blind Review'!$Y$43="Failure"),'Blind Review'!$X$43,"")</x:f>
      </x:c>
      <x:c r="I43" s="53" t="str">
        <x:f>IF(OR('Blind Review'!$Y$43="Reviewed",'Blind Review'!$Y$43="Failure"),'Blind Review'!$P$43,"")</x:f>
      </x:c>
      <x:c r="J43" s="53" t="str">
        <x:f>IF(OR('Blind Review'!$Y$43="Reviewed",'Blind Review'!$Y$43="Failure"),'Blind Review'!$Q$43,"")</x:f>
      </x:c>
      <x:c r="K43" s="53" t="str">
        <x:f>IF(OR('Blind Review'!$Y$43="Reviewed",'Blind Review'!$Y$43="Failure"),'Blind Review'!$R$43,"")</x:f>
      </x:c>
      <x:c r="L43" s="53" t="str">
        <x:f>'Blind Review'!$Y$43</x:f>
        <x:v>Pending</x:v>
      </x:c>
      <x:c r="M43" s="53" t="str">
        <x:f>IF('Blind Review'!$W$43&lt;&gt;"",'Blind Review'!$W$43,"")</x:f>
      </x:c>
      <x:c r="N43" s="53" t="str">
        <x:f>IF('Blind Review'!$V$43&lt;&gt;"",'Blind Review'!$V$43,"")</x:f>
      </x:c>
    </x:row>
    <x:row r="44" ht="42" customHeight="1">
      <x:c r="A44" s="53" t="str">
        <x:f>'Blind Review'!$B$44</x:f>
        <x:v>G021-A</x:v>
      </x:c>
      <x:c r="B44" s="53" t="str">
        <x:f>'Blind Review'!$C$44</x:f>
        <x:v>G021</x:v>
      </x:c>
      <x:c r="C44" s="53" t="str">
        <x:f>'Blind Review'!$D$44</x:f>
        <x:v>MV-CLEAN-001</x:v>
      </x:c>
      <x:c r="D44" s="53" t="str">
        <x:f>'Blind Review'!$E$44</x:f>
        <x:v>en-US</x:v>
      </x:c>
      <x:c r="E44" s="53" t="str">
        <x:f>'Blind Review'!$F$44</x:f>
        <x:v>product_listing</x:v>
      </x:c>
      <x:c r="F44" s="53" t="str">
        <x:f>'Blind Review'!$G$44</x:f>
        <x:v>A</x:v>
      </x:c>
      <x:c r="G44" s="53" t="str">
        <x:f>IF(OR('Blind Review'!$Y$44="Reviewed",'Blind Review'!$Y$44="Failure"),'Blind Review'!$I$44,"")</x:f>
      </x:c>
      <x:c r="H44" s="59" t="str">
        <x:f>IF(OR('Blind Review'!$Y$44="Reviewed",'Blind Review'!$Y$44="Failure"),'Blind Review'!$X$44,"")</x:f>
      </x:c>
      <x:c r="I44" s="53" t="str">
        <x:f>IF(OR('Blind Review'!$Y$44="Reviewed",'Blind Review'!$Y$44="Failure"),'Blind Review'!$P$44,"")</x:f>
      </x:c>
      <x:c r="J44" s="53" t="str">
        <x:f>IF(OR('Blind Review'!$Y$44="Reviewed",'Blind Review'!$Y$44="Failure"),'Blind Review'!$Q$44,"")</x:f>
      </x:c>
      <x:c r="K44" s="53" t="str">
        <x:f>IF(OR('Blind Review'!$Y$44="Reviewed",'Blind Review'!$Y$44="Failure"),'Blind Review'!$R$44,"")</x:f>
      </x:c>
      <x:c r="L44" s="53" t="str">
        <x:f>'Blind Review'!$Y$44</x:f>
        <x:v>Pending</x:v>
      </x:c>
      <x:c r="M44" s="53" t="str">
        <x:f>IF('Blind Review'!$W$44&lt;&gt;"",'Blind Review'!$W$44,"")</x:f>
      </x:c>
      <x:c r="N44" s="53" t="str">
        <x:f>IF('Blind Review'!$V$44&lt;&gt;"",'Blind Review'!$V$44,"")</x:f>
      </x:c>
    </x:row>
    <x:row r="45" ht="42" customHeight="1">
      <x:c r="A45" s="53" t="str">
        <x:f>'Blind Review'!$B$45</x:f>
        <x:v>G021-B</x:v>
      </x:c>
      <x:c r="B45" s="53" t="str">
        <x:f>'Blind Review'!$C$45</x:f>
        <x:v>G021</x:v>
      </x:c>
      <x:c r="C45" s="53" t="str">
        <x:f>'Blind Review'!$D$45</x:f>
        <x:v>MV-CLEAN-001</x:v>
      </x:c>
      <x:c r="D45" s="53" t="str">
        <x:f>'Blind Review'!$E$45</x:f>
        <x:v>en-US</x:v>
      </x:c>
      <x:c r="E45" s="53" t="str">
        <x:f>'Blind Review'!$F$45</x:f>
        <x:v>product_listing</x:v>
      </x:c>
      <x:c r="F45" s="53" t="str">
        <x:f>'Blind Review'!$G$45</x:f>
        <x:v>B</x:v>
      </x:c>
      <x:c r="G45" s="53" t="str">
        <x:f>IF(OR('Blind Review'!$Y$45="Reviewed",'Blind Review'!$Y$45="Failure"),'Blind Review'!$I$45,"")</x:f>
      </x:c>
      <x:c r="H45" s="59" t="str">
        <x:f>IF(OR('Blind Review'!$Y$45="Reviewed",'Blind Review'!$Y$45="Failure"),'Blind Review'!$X$45,"")</x:f>
      </x:c>
      <x:c r="I45" s="53" t="str">
        <x:f>IF(OR('Blind Review'!$Y$45="Reviewed",'Blind Review'!$Y$45="Failure"),'Blind Review'!$P$45,"")</x:f>
      </x:c>
      <x:c r="J45" s="53" t="str">
        <x:f>IF(OR('Blind Review'!$Y$45="Reviewed",'Blind Review'!$Y$45="Failure"),'Blind Review'!$Q$45,"")</x:f>
      </x:c>
      <x:c r="K45" s="53" t="str">
        <x:f>IF(OR('Blind Review'!$Y$45="Reviewed",'Blind Review'!$Y$45="Failure"),'Blind Review'!$R$45,"")</x:f>
      </x:c>
      <x:c r="L45" s="53" t="str">
        <x:f>'Blind Review'!$Y$45</x:f>
        <x:v>Pending</x:v>
      </x:c>
      <x:c r="M45" s="53" t="str">
        <x:f>IF('Blind Review'!$W$45&lt;&gt;"",'Blind Review'!$W$45,"")</x:f>
      </x:c>
      <x:c r="N45" s="53" t="str">
        <x:f>IF('Blind Review'!$V$45&lt;&gt;"",'Blind Review'!$V$45,"")</x:f>
      </x:c>
    </x:row>
    <x:row r="46" ht="42" customHeight="1">
      <x:c r="A46" s="53" t="str">
        <x:f>'Blind Review'!$B$46</x:f>
        <x:v>G022-A</x:v>
      </x:c>
      <x:c r="B46" s="53" t="str">
        <x:f>'Blind Review'!$C$46</x:f>
        <x:v>G022</x:v>
      </x:c>
      <x:c r="C46" s="53" t="str">
        <x:f>'Blind Review'!$D$46</x:f>
        <x:v>MV-SERUM-001</x:v>
      </x:c>
      <x:c r="D46" s="53" t="str">
        <x:f>'Blind Review'!$E$46</x:f>
        <x:v>es-MX</x:v>
      </x:c>
      <x:c r="E46" s="53" t="str">
        <x:f>'Blind Review'!$F$46</x:f>
        <x:v>product_listing</x:v>
      </x:c>
      <x:c r="F46" s="53" t="str">
        <x:f>'Blind Review'!$G$46</x:f>
        <x:v>A</x:v>
      </x:c>
      <x:c r="G46" s="53" t="str">
        <x:f>IF(OR('Blind Review'!$Y$46="Reviewed",'Blind Review'!$Y$46="Failure"),'Blind Review'!$I$46,"")</x:f>
      </x:c>
      <x:c r="H46" s="59" t="str">
        <x:f>IF(OR('Blind Review'!$Y$46="Reviewed",'Blind Review'!$Y$46="Failure"),'Blind Review'!$X$46,"")</x:f>
      </x:c>
      <x:c r="I46" s="53" t="str">
        <x:f>IF(OR('Blind Review'!$Y$46="Reviewed",'Blind Review'!$Y$46="Failure"),'Blind Review'!$P$46,"")</x:f>
      </x:c>
      <x:c r="J46" s="53" t="str">
        <x:f>IF(OR('Blind Review'!$Y$46="Reviewed",'Blind Review'!$Y$46="Failure"),'Blind Review'!$Q$46,"")</x:f>
      </x:c>
      <x:c r="K46" s="53" t="str">
        <x:f>IF(OR('Blind Review'!$Y$46="Reviewed",'Blind Review'!$Y$46="Failure"),'Blind Review'!$R$46,"")</x:f>
      </x:c>
      <x:c r="L46" s="53" t="str">
        <x:f>'Blind Review'!$Y$46</x:f>
        <x:v>Pending</x:v>
      </x:c>
      <x:c r="M46" s="53" t="str">
        <x:f>IF('Blind Review'!$W$46&lt;&gt;"",'Blind Review'!$W$46,"")</x:f>
      </x:c>
      <x:c r="N46" s="53" t="str">
        <x:f>IF('Blind Review'!$V$46&lt;&gt;"",'Blind Review'!$V$46,"")</x:f>
      </x:c>
    </x:row>
    <x:row r="47" ht="42" customHeight="1">
      <x:c r="A47" s="53" t="str">
        <x:f>'Blind Review'!$B$47</x:f>
        <x:v>G022-B</x:v>
      </x:c>
      <x:c r="B47" s="53" t="str">
        <x:f>'Blind Review'!$C$47</x:f>
        <x:v>G022</x:v>
      </x:c>
      <x:c r="C47" s="53" t="str">
        <x:f>'Blind Review'!$D$47</x:f>
        <x:v>MV-SERUM-001</x:v>
      </x:c>
      <x:c r="D47" s="53" t="str">
        <x:f>'Blind Review'!$E$47</x:f>
        <x:v>es-MX</x:v>
      </x:c>
      <x:c r="E47" s="53" t="str">
        <x:f>'Blind Review'!$F$47</x:f>
        <x:v>product_listing</x:v>
      </x:c>
      <x:c r="F47" s="53" t="str">
        <x:f>'Blind Review'!$G$47</x:f>
        <x:v>B</x:v>
      </x:c>
      <x:c r="G47" s="53" t="str">
        <x:f>IF(OR('Blind Review'!$Y$47="Reviewed",'Blind Review'!$Y$47="Failure"),'Blind Review'!$I$47,"")</x:f>
      </x:c>
      <x:c r="H47" s="59" t="str">
        <x:f>IF(OR('Blind Review'!$Y$47="Reviewed",'Blind Review'!$Y$47="Failure"),'Blind Review'!$X$47,"")</x:f>
      </x:c>
      <x:c r="I47" s="53" t="str">
        <x:f>IF(OR('Blind Review'!$Y$47="Reviewed",'Blind Review'!$Y$47="Failure"),'Blind Review'!$P$47,"")</x:f>
      </x:c>
      <x:c r="J47" s="53" t="str">
        <x:f>IF(OR('Blind Review'!$Y$47="Reviewed",'Blind Review'!$Y$47="Failure"),'Blind Review'!$Q$47,"")</x:f>
      </x:c>
      <x:c r="K47" s="53" t="str">
        <x:f>IF(OR('Blind Review'!$Y$47="Reviewed",'Blind Review'!$Y$47="Failure"),'Blind Review'!$R$47,"")</x:f>
      </x:c>
      <x:c r="L47" s="53" t="str">
        <x:f>'Blind Review'!$Y$47</x:f>
        <x:v>Pending</x:v>
      </x:c>
      <x:c r="M47" s="53" t="str">
        <x:f>IF('Blind Review'!$W$47&lt;&gt;"",'Blind Review'!$W$47,"")</x:f>
      </x:c>
      <x:c r="N47" s="53" t="str">
        <x:f>IF('Blind Review'!$V$47&lt;&gt;"",'Blind Review'!$V$47,"")</x:f>
      </x:c>
    </x:row>
    <x:row r="48" ht="42" customHeight="1">
      <x:c r="A48" s="53" t="str">
        <x:f>'Blind Review'!$B$48</x:f>
        <x:v>G023-A</x:v>
      </x:c>
      <x:c r="B48" s="53" t="str">
        <x:f>'Blind Review'!$C$48</x:f>
        <x:v>G023</x:v>
      </x:c>
      <x:c r="C48" s="53" t="str">
        <x:f>'Blind Review'!$D$48</x:f>
        <x:v>MV-SERUM-001</x:v>
      </x:c>
      <x:c r="D48" s="53" t="str">
        <x:f>'Blind Review'!$E$48</x:f>
        <x:v>en-US</x:v>
      </x:c>
      <x:c r="E48" s="53" t="str">
        <x:f>'Blind Review'!$F$48</x:f>
        <x:v>social_ad_copy</x:v>
      </x:c>
      <x:c r="F48" s="53" t="str">
        <x:f>'Blind Review'!$G$48</x:f>
        <x:v>A</x:v>
      </x:c>
      <x:c r="G48" s="53" t="str">
        <x:f>IF(OR('Blind Review'!$Y$48="Reviewed",'Blind Review'!$Y$48="Failure"),'Blind Review'!$I$48,"")</x:f>
      </x:c>
      <x:c r="H48" s="59" t="str">
        <x:f>IF(OR('Blind Review'!$Y$48="Reviewed",'Blind Review'!$Y$48="Failure"),'Blind Review'!$X$48,"")</x:f>
      </x:c>
      <x:c r="I48" s="53" t="str">
        <x:f>IF(OR('Blind Review'!$Y$48="Reviewed",'Blind Review'!$Y$48="Failure"),'Blind Review'!$P$48,"")</x:f>
      </x:c>
      <x:c r="J48" s="53" t="str">
        <x:f>IF(OR('Blind Review'!$Y$48="Reviewed",'Blind Review'!$Y$48="Failure"),'Blind Review'!$Q$48,"")</x:f>
      </x:c>
      <x:c r="K48" s="53" t="str">
        <x:f>IF(OR('Blind Review'!$Y$48="Reviewed",'Blind Review'!$Y$48="Failure"),'Blind Review'!$R$48,"")</x:f>
      </x:c>
      <x:c r="L48" s="53" t="str">
        <x:f>'Blind Review'!$Y$48</x:f>
        <x:v>Pending</x:v>
      </x:c>
      <x:c r="M48" s="53" t="str">
        <x:f>IF('Blind Review'!$W$48&lt;&gt;"",'Blind Review'!$W$48,"")</x:f>
      </x:c>
      <x:c r="N48" s="53" t="str">
        <x:f>IF('Blind Review'!$V$48&lt;&gt;"",'Blind Review'!$V$48,"")</x:f>
      </x:c>
    </x:row>
    <x:row r="49" ht="42" customHeight="1">
      <x:c r="A49" s="53" t="str">
        <x:f>'Blind Review'!$B$49</x:f>
        <x:v>G023-B</x:v>
      </x:c>
      <x:c r="B49" s="53" t="str">
        <x:f>'Blind Review'!$C$49</x:f>
        <x:v>G023</x:v>
      </x:c>
      <x:c r="C49" s="53" t="str">
        <x:f>'Blind Review'!$D$49</x:f>
        <x:v>MV-SERUM-001</x:v>
      </x:c>
      <x:c r="D49" s="53" t="str">
        <x:f>'Blind Review'!$E$49</x:f>
        <x:v>en-US</x:v>
      </x:c>
      <x:c r="E49" s="53" t="str">
        <x:f>'Blind Review'!$F$49</x:f>
        <x:v>social_ad_copy</x:v>
      </x:c>
      <x:c r="F49" s="53" t="str">
        <x:f>'Blind Review'!$G$49</x:f>
        <x:v>B</x:v>
      </x:c>
      <x:c r="G49" s="53" t="str">
        <x:f>IF(OR('Blind Review'!$Y$49="Reviewed",'Blind Review'!$Y$49="Failure"),'Blind Review'!$I$49,"")</x:f>
      </x:c>
      <x:c r="H49" s="59" t="str">
        <x:f>IF(OR('Blind Review'!$Y$49="Reviewed",'Blind Review'!$Y$49="Failure"),'Blind Review'!$X$49,"")</x:f>
      </x:c>
      <x:c r="I49" s="53" t="str">
        <x:f>IF(OR('Blind Review'!$Y$49="Reviewed",'Blind Review'!$Y$49="Failure"),'Blind Review'!$P$49,"")</x:f>
      </x:c>
      <x:c r="J49" s="53" t="str">
        <x:f>IF(OR('Blind Review'!$Y$49="Reviewed",'Blind Review'!$Y$49="Failure"),'Blind Review'!$Q$49,"")</x:f>
      </x:c>
      <x:c r="K49" s="53" t="str">
        <x:f>IF(OR('Blind Review'!$Y$49="Reviewed",'Blind Review'!$Y$49="Failure"),'Blind Review'!$R$49,"")</x:f>
      </x:c>
      <x:c r="L49" s="53" t="str">
        <x:f>'Blind Review'!$Y$49</x:f>
        <x:v>Pending</x:v>
      </x:c>
      <x:c r="M49" s="53" t="str">
        <x:f>IF('Blind Review'!$W$49&lt;&gt;"",'Blind Review'!$W$49,"")</x:f>
      </x:c>
      <x:c r="N49" s="53" t="str">
        <x:f>IF('Blind Review'!$V$49&lt;&gt;"",'Blind Review'!$V$49,"")</x:f>
      </x:c>
    </x:row>
    <x:row r="50" ht="42" customHeight="1">
      <x:c r="A50" s="53" t="str">
        <x:f>'Blind Review'!$B$50</x:f>
        <x:v>G024-A</x:v>
      </x:c>
      <x:c r="B50" s="53" t="str">
        <x:f>'Blind Review'!$C$50</x:f>
        <x:v>G024</x:v>
      </x:c>
      <x:c r="C50" s="53" t="str">
        <x:f>'Blind Review'!$D$50</x:f>
        <x:v>MV-CREAM-001</x:v>
      </x:c>
      <x:c r="D50" s="53" t="str">
        <x:f>'Blind Review'!$E$50</x:f>
        <x:v>en-US</x:v>
      </x:c>
      <x:c r="E50" s="53" t="str">
        <x:f>'Blind Review'!$F$50</x:f>
        <x:v>social_ad_copy</x:v>
      </x:c>
      <x:c r="F50" s="53" t="str">
        <x:f>'Blind Review'!$G$50</x:f>
        <x:v>A</x:v>
      </x:c>
      <x:c r="G50" s="53" t="str">
        <x:f>IF(OR('Blind Review'!$Y$50="Reviewed",'Blind Review'!$Y$50="Failure"),'Blind Review'!$I$50,"")</x:f>
      </x:c>
      <x:c r="H50" s="59" t="str">
        <x:f>IF(OR('Blind Review'!$Y$50="Reviewed",'Blind Review'!$Y$50="Failure"),'Blind Review'!$X$50,"")</x:f>
      </x:c>
      <x:c r="I50" s="53" t="str">
        <x:f>IF(OR('Blind Review'!$Y$50="Reviewed",'Blind Review'!$Y$50="Failure"),'Blind Review'!$P$50,"")</x:f>
      </x:c>
      <x:c r="J50" s="53" t="str">
        <x:f>IF(OR('Blind Review'!$Y$50="Reviewed",'Blind Review'!$Y$50="Failure"),'Blind Review'!$Q$50,"")</x:f>
      </x:c>
      <x:c r="K50" s="53" t="str">
        <x:f>IF(OR('Blind Review'!$Y$50="Reviewed",'Blind Review'!$Y$50="Failure"),'Blind Review'!$R$50,"")</x:f>
      </x:c>
      <x:c r="L50" s="53" t="str">
        <x:f>'Blind Review'!$Y$50</x:f>
        <x:v>Pending</x:v>
      </x:c>
      <x:c r="M50" s="53" t="str">
        <x:f>IF('Blind Review'!$W$50&lt;&gt;"",'Blind Review'!$W$50,"")</x:f>
      </x:c>
      <x:c r="N50" s="53" t="str">
        <x:f>IF('Blind Review'!$V$50&lt;&gt;"",'Blind Review'!$V$50,"")</x:f>
      </x:c>
    </x:row>
    <x:row r="51" ht="42" customHeight="1">
      <x:c r="A51" s="53" t="str">
        <x:f>'Blind Review'!$B$51</x:f>
        <x:v>G024-B</x:v>
      </x:c>
      <x:c r="B51" s="53" t="str">
        <x:f>'Blind Review'!$C$51</x:f>
        <x:v>G024</x:v>
      </x:c>
      <x:c r="C51" s="53" t="str">
        <x:f>'Blind Review'!$D$51</x:f>
        <x:v>MV-CREAM-001</x:v>
      </x:c>
      <x:c r="D51" s="53" t="str">
        <x:f>'Blind Review'!$E$51</x:f>
        <x:v>en-US</x:v>
      </x:c>
      <x:c r="E51" s="53" t="str">
        <x:f>'Blind Review'!$F$51</x:f>
        <x:v>social_ad_copy</x:v>
      </x:c>
      <x:c r="F51" s="53" t="str">
        <x:f>'Blind Review'!$G$51</x:f>
        <x:v>B</x:v>
      </x:c>
      <x:c r="G51" s="53" t="str">
        <x:f>IF(OR('Blind Review'!$Y$51="Reviewed",'Blind Review'!$Y$51="Failure"),'Blind Review'!$I$51,"")</x:f>
      </x:c>
      <x:c r="H51" s="59" t="str">
        <x:f>IF(OR('Blind Review'!$Y$51="Reviewed",'Blind Review'!$Y$51="Failure"),'Blind Review'!$X$51,"")</x:f>
      </x:c>
      <x:c r="I51" s="53" t="str">
        <x:f>IF(OR('Blind Review'!$Y$51="Reviewed",'Blind Review'!$Y$51="Failure"),'Blind Review'!$P$51,"")</x:f>
      </x:c>
      <x:c r="J51" s="53" t="str">
        <x:f>IF(OR('Blind Review'!$Y$51="Reviewed",'Blind Review'!$Y$51="Failure"),'Blind Review'!$Q$51,"")</x:f>
      </x:c>
      <x:c r="K51" s="53" t="str">
        <x:f>IF(OR('Blind Review'!$Y$51="Reviewed",'Blind Review'!$Y$51="Failure"),'Blind Review'!$R$51,"")</x:f>
      </x:c>
      <x:c r="L51" s="53" t="str">
        <x:f>'Blind Review'!$Y$51</x:f>
        <x:v>Pending</x:v>
      </x:c>
      <x:c r="M51" s="53" t="str">
        <x:f>IF('Blind Review'!$W$51&lt;&gt;"",'Blind Review'!$W$51,"")</x:f>
      </x:c>
      <x:c r="N51" s="53" t="str">
        <x:f>IF('Blind Review'!$V$51&lt;&gt;"",'Blind Review'!$V$51,"")</x:f>
      </x:c>
    </x:row>
    <x:row r="52" ht="42" customHeight="1">
      <x:c r="A52" s="53" t="str">
        <x:f>'Blind Review'!$B$52</x:f>
        <x:v>G025-A</x:v>
      </x:c>
      <x:c r="B52" s="53" t="str">
        <x:f>'Blind Review'!$C$52</x:f>
        <x:v>G025</x:v>
      </x:c>
      <x:c r="C52" s="53" t="str">
        <x:f>'Blind Review'!$D$52</x:f>
        <x:v>MV-HAND-001</x:v>
      </x:c>
      <x:c r="D52" s="53" t="str">
        <x:f>'Blind Review'!$E$52</x:f>
        <x:v>es-MX</x:v>
      </x:c>
      <x:c r="E52" s="53" t="str">
        <x:f>'Blind Review'!$F$52</x:f>
        <x:v>social_ad_copy</x:v>
      </x:c>
      <x:c r="F52" s="53" t="str">
        <x:f>'Blind Review'!$G$52</x:f>
        <x:v>A</x:v>
      </x:c>
      <x:c r="G52" s="53" t="str">
        <x:f>IF(OR('Blind Review'!$Y$52="Reviewed",'Blind Review'!$Y$52="Failure"),'Blind Review'!$I$52,"")</x:f>
      </x:c>
      <x:c r="H52" s="59" t="str">
        <x:f>IF(OR('Blind Review'!$Y$52="Reviewed",'Blind Review'!$Y$52="Failure"),'Blind Review'!$X$52,"")</x:f>
      </x:c>
      <x:c r="I52" s="53" t="str">
        <x:f>IF(OR('Blind Review'!$Y$52="Reviewed",'Blind Review'!$Y$52="Failure"),'Blind Review'!$P$52,"")</x:f>
      </x:c>
      <x:c r="J52" s="53" t="str">
        <x:f>IF(OR('Blind Review'!$Y$52="Reviewed",'Blind Review'!$Y$52="Failure"),'Blind Review'!$Q$52,"")</x:f>
      </x:c>
      <x:c r="K52" s="53" t="str">
        <x:f>IF(OR('Blind Review'!$Y$52="Reviewed",'Blind Review'!$Y$52="Failure"),'Blind Review'!$R$52,"")</x:f>
      </x:c>
      <x:c r="L52" s="53" t="str">
        <x:f>'Blind Review'!$Y$52</x:f>
        <x:v>Pending</x:v>
      </x:c>
      <x:c r="M52" s="53" t="str">
        <x:f>IF('Blind Review'!$W$52&lt;&gt;"",'Blind Review'!$W$52,"")</x:f>
      </x:c>
      <x:c r="N52" s="53" t="str">
        <x:f>IF('Blind Review'!$V$52&lt;&gt;"",'Blind Review'!$V$52,"")</x:f>
      </x:c>
    </x:row>
    <x:row r="53" ht="42" customHeight="1">
      <x:c r="A53" s="53" t="str">
        <x:f>'Blind Review'!$B$53</x:f>
        <x:v>G025-B</x:v>
      </x:c>
      <x:c r="B53" s="53" t="str">
        <x:f>'Blind Review'!$C$53</x:f>
        <x:v>G025</x:v>
      </x:c>
      <x:c r="C53" s="53" t="str">
        <x:f>'Blind Review'!$D$53</x:f>
        <x:v>MV-HAND-001</x:v>
      </x:c>
      <x:c r="D53" s="53" t="str">
        <x:f>'Blind Review'!$E$53</x:f>
        <x:v>es-MX</x:v>
      </x:c>
      <x:c r="E53" s="53" t="str">
        <x:f>'Blind Review'!$F$53</x:f>
        <x:v>social_ad_copy</x:v>
      </x:c>
      <x:c r="F53" s="53" t="str">
        <x:f>'Blind Review'!$G$53</x:f>
        <x:v>B</x:v>
      </x:c>
      <x:c r="G53" s="53" t="str">
        <x:f>IF(OR('Blind Review'!$Y$53="Reviewed",'Blind Review'!$Y$53="Failure"),'Blind Review'!$I$53,"")</x:f>
      </x:c>
      <x:c r="H53" s="59" t="str">
        <x:f>IF(OR('Blind Review'!$Y$53="Reviewed",'Blind Review'!$Y$53="Failure"),'Blind Review'!$X$53,"")</x:f>
      </x:c>
      <x:c r="I53" s="53" t="str">
        <x:f>IF(OR('Blind Review'!$Y$53="Reviewed",'Blind Review'!$Y$53="Failure"),'Blind Review'!$P$53,"")</x:f>
      </x:c>
      <x:c r="J53" s="53" t="str">
        <x:f>IF(OR('Blind Review'!$Y$53="Reviewed",'Blind Review'!$Y$53="Failure"),'Blind Review'!$Q$53,"")</x:f>
      </x:c>
      <x:c r="K53" s="53" t="str">
        <x:f>IF(OR('Blind Review'!$Y$53="Reviewed",'Blind Review'!$Y$53="Failure"),'Blind Review'!$R$53,"")</x:f>
      </x:c>
      <x:c r="L53" s="53" t="str">
        <x:f>'Blind Review'!$Y$53</x:f>
        <x:v>Pending</x:v>
      </x:c>
      <x:c r="M53" s="53" t="str">
        <x:f>IF('Blind Review'!$W$53&lt;&gt;"",'Blind Review'!$W$53,"")</x:f>
      </x:c>
      <x:c r="N53" s="53" t="str">
        <x:f>IF('Blind Review'!$V$53&lt;&gt;"",'Blind Review'!$V$53,"")</x:f>
      </x:c>
    </x:row>
    <x:row r="54" ht="42" customHeight="1">
      <x:c r="A54" s="53" t="str">
        <x:f>'Blind Review'!$B$54</x:f>
        <x:v>G026-A</x:v>
      </x:c>
      <x:c r="B54" s="53" t="str">
        <x:f>'Blind Review'!$C$54</x:f>
        <x:v>G026</x:v>
      </x:c>
      <x:c r="C54" s="53" t="str">
        <x:f>'Blind Review'!$D$54</x:f>
        <x:v>MV-CLEAN-001</x:v>
      </x:c>
      <x:c r="D54" s="53" t="str">
        <x:f>'Blind Review'!$E$54</x:f>
        <x:v>en-US</x:v>
      </x:c>
      <x:c r="E54" s="53" t="str">
        <x:f>'Blind Review'!$F$54</x:f>
        <x:v>social_ad_copy</x:v>
      </x:c>
      <x:c r="F54" s="53" t="str">
        <x:f>'Blind Review'!$G$54</x:f>
        <x:v>A</x:v>
      </x:c>
      <x:c r="G54" s="53" t="str">
        <x:f>IF(OR('Blind Review'!$Y$54="Reviewed",'Blind Review'!$Y$54="Failure"),'Blind Review'!$I$54,"")</x:f>
      </x:c>
      <x:c r="H54" s="59" t="str">
        <x:f>IF(OR('Blind Review'!$Y$54="Reviewed",'Blind Review'!$Y$54="Failure"),'Blind Review'!$X$54,"")</x:f>
      </x:c>
      <x:c r="I54" s="53" t="str">
        <x:f>IF(OR('Blind Review'!$Y$54="Reviewed",'Blind Review'!$Y$54="Failure"),'Blind Review'!$P$54,"")</x:f>
      </x:c>
      <x:c r="J54" s="53" t="str">
        <x:f>IF(OR('Blind Review'!$Y$54="Reviewed",'Blind Review'!$Y$54="Failure"),'Blind Review'!$Q$54,"")</x:f>
      </x:c>
      <x:c r="K54" s="53" t="str">
        <x:f>IF(OR('Blind Review'!$Y$54="Reviewed",'Blind Review'!$Y$54="Failure"),'Blind Review'!$R$54,"")</x:f>
      </x:c>
      <x:c r="L54" s="53" t="str">
        <x:f>'Blind Review'!$Y$54</x:f>
        <x:v>Pending</x:v>
      </x:c>
      <x:c r="M54" s="53" t="str">
        <x:f>IF('Blind Review'!$W$54&lt;&gt;"",'Blind Review'!$W$54,"")</x:f>
      </x:c>
      <x:c r="N54" s="53" t="str">
        <x:f>IF('Blind Review'!$V$54&lt;&gt;"",'Blind Review'!$V$54,"")</x:f>
      </x:c>
    </x:row>
    <x:row r="55" ht="42" customHeight="1">
      <x:c r="A55" s="53" t="str">
        <x:f>'Blind Review'!$B$55</x:f>
        <x:v>G026-B</x:v>
      </x:c>
      <x:c r="B55" s="53" t="str">
        <x:f>'Blind Review'!$C$55</x:f>
        <x:v>G026</x:v>
      </x:c>
      <x:c r="C55" s="53" t="str">
        <x:f>'Blind Review'!$D$55</x:f>
        <x:v>MV-CLEAN-001</x:v>
      </x:c>
      <x:c r="D55" s="53" t="str">
        <x:f>'Blind Review'!$E$55</x:f>
        <x:v>en-US</x:v>
      </x:c>
      <x:c r="E55" s="53" t="str">
        <x:f>'Blind Review'!$F$55</x:f>
        <x:v>social_ad_copy</x:v>
      </x:c>
      <x:c r="F55" s="53" t="str">
        <x:f>'Blind Review'!$G$55</x:f>
        <x:v>B</x:v>
      </x:c>
      <x:c r="G55" s="53" t="str">
        <x:f>IF(OR('Blind Review'!$Y$55="Reviewed",'Blind Review'!$Y$55="Failure"),'Blind Review'!$I$55,"")</x:f>
      </x:c>
      <x:c r="H55" s="59" t="str">
        <x:f>IF(OR('Blind Review'!$Y$55="Reviewed",'Blind Review'!$Y$55="Failure"),'Blind Review'!$X$55,"")</x:f>
      </x:c>
      <x:c r="I55" s="53" t="str">
        <x:f>IF(OR('Blind Review'!$Y$55="Reviewed",'Blind Review'!$Y$55="Failure"),'Blind Review'!$P$55,"")</x:f>
      </x:c>
      <x:c r="J55" s="53" t="str">
        <x:f>IF(OR('Blind Review'!$Y$55="Reviewed",'Blind Review'!$Y$55="Failure"),'Blind Review'!$Q$55,"")</x:f>
      </x:c>
      <x:c r="K55" s="53" t="str">
        <x:f>IF(OR('Blind Review'!$Y$55="Reviewed",'Blind Review'!$Y$55="Failure"),'Blind Review'!$R$55,"")</x:f>
      </x:c>
      <x:c r="L55" s="53" t="str">
        <x:f>'Blind Review'!$Y$55</x:f>
        <x:v>Pending</x:v>
      </x:c>
      <x:c r="M55" s="53" t="str">
        <x:f>IF('Blind Review'!$W$55&lt;&gt;"",'Blind Review'!$W$55,"")</x:f>
      </x:c>
      <x:c r="N55" s="53" t="str">
        <x:f>IF('Blind Review'!$V$55&lt;&gt;"",'Blind Review'!$V$55,"")</x:f>
      </x:c>
    </x:row>
    <x:row r="56" ht="42" customHeight="1">
      <x:c r="A56" s="53" t="str">
        <x:f>'Blind Review'!$B$56</x:f>
        <x:v>G027-A</x:v>
      </x:c>
      <x:c r="B56" s="53" t="str">
        <x:f>'Blind Review'!$C$56</x:f>
        <x:v>G027</x:v>
      </x:c>
      <x:c r="C56" s="53" t="str">
        <x:f>'Blind Review'!$D$56</x:f>
        <x:v>MV-HAND-001</x:v>
      </x:c>
      <x:c r="D56" s="53" t="str">
        <x:f>'Blind Review'!$E$56</x:f>
        <x:v>es-MX</x:v>
      </x:c>
      <x:c r="E56" s="53" t="str">
        <x:f>'Blind Review'!$F$56</x:f>
        <x:v>product_listing</x:v>
      </x:c>
      <x:c r="F56" s="53" t="str">
        <x:f>'Blind Review'!$G$56</x:f>
        <x:v>A</x:v>
      </x:c>
      <x:c r="G56" s="53" t="str">
        <x:f>IF(OR('Blind Review'!$Y$56="Reviewed",'Blind Review'!$Y$56="Failure"),'Blind Review'!$I$56,"")</x:f>
      </x:c>
      <x:c r="H56" s="59" t="str">
        <x:f>IF(OR('Blind Review'!$Y$56="Reviewed",'Blind Review'!$Y$56="Failure"),'Blind Review'!$X$56,"")</x:f>
      </x:c>
      <x:c r="I56" s="53" t="str">
        <x:f>IF(OR('Blind Review'!$Y$56="Reviewed",'Blind Review'!$Y$56="Failure"),'Blind Review'!$P$56,"")</x:f>
      </x:c>
      <x:c r="J56" s="53" t="str">
        <x:f>IF(OR('Blind Review'!$Y$56="Reviewed",'Blind Review'!$Y$56="Failure"),'Blind Review'!$Q$56,"")</x:f>
      </x:c>
      <x:c r="K56" s="53" t="str">
        <x:f>IF(OR('Blind Review'!$Y$56="Reviewed",'Blind Review'!$Y$56="Failure"),'Blind Review'!$R$56,"")</x:f>
      </x:c>
      <x:c r="L56" s="53" t="str">
        <x:f>'Blind Review'!$Y$56</x:f>
        <x:v>Pending</x:v>
      </x:c>
      <x:c r="M56" s="53" t="str">
        <x:f>IF('Blind Review'!$W$56&lt;&gt;"",'Blind Review'!$W$56,"")</x:f>
      </x:c>
      <x:c r="N56" s="53" t="str">
        <x:f>IF('Blind Review'!$V$56&lt;&gt;"",'Blind Review'!$V$56,"")</x:f>
      </x:c>
    </x:row>
    <x:row r="57" ht="42" customHeight="1">
      <x:c r="A57" s="53" t="str">
        <x:f>'Blind Review'!$B$57</x:f>
        <x:v>G027-B</x:v>
      </x:c>
      <x:c r="B57" s="53" t="str">
        <x:f>'Blind Review'!$C$57</x:f>
        <x:v>G027</x:v>
      </x:c>
      <x:c r="C57" s="53" t="str">
        <x:f>'Blind Review'!$D$57</x:f>
        <x:v>MV-HAND-001</x:v>
      </x:c>
      <x:c r="D57" s="53" t="str">
        <x:f>'Blind Review'!$E$57</x:f>
        <x:v>es-MX</x:v>
      </x:c>
      <x:c r="E57" s="53" t="str">
        <x:f>'Blind Review'!$F$57</x:f>
        <x:v>product_listing</x:v>
      </x:c>
      <x:c r="F57" s="53" t="str">
        <x:f>'Blind Review'!$G$57</x:f>
        <x:v>B</x:v>
      </x:c>
      <x:c r="G57" s="53" t="str">
        <x:f>IF(OR('Blind Review'!$Y$57="Reviewed",'Blind Review'!$Y$57="Failure"),'Blind Review'!$I$57,"")</x:f>
      </x:c>
      <x:c r="H57" s="59" t="str">
        <x:f>IF(OR('Blind Review'!$Y$57="Reviewed",'Blind Review'!$Y$57="Failure"),'Blind Review'!$X$57,"")</x:f>
      </x:c>
      <x:c r="I57" s="53" t="str">
        <x:f>IF(OR('Blind Review'!$Y$57="Reviewed",'Blind Review'!$Y$57="Failure"),'Blind Review'!$P$57,"")</x:f>
      </x:c>
      <x:c r="J57" s="53" t="str">
        <x:f>IF(OR('Blind Review'!$Y$57="Reviewed",'Blind Review'!$Y$57="Failure"),'Blind Review'!$Q$57,"")</x:f>
      </x:c>
      <x:c r="K57" s="53" t="str">
        <x:f>IF(OR('Blind Review'!$Y$57="Reviewed",'Blind Review'!$Y$57="Failure"),'Blind Review'!$R$57,"")</x:f>
      </x:c>
      <x:c r="L57" s="53" t="str">
        <x:f>'Blind Review'!$Y$57</x:f>
        <x:v>Pending</x:v>
      </x:c>
      <x:c r="M57" s="53" t="str">
        <x:f>IF('Blind Review'!$W$57&lt;&gt;"",'Blind Review'!$W$57,"")</x:f>
      </x:c>
      <x:c r="N57" s="53" t="str">
        <x:f>IF('Blind Review'!$V$57&lt;&gt;"",'Blind Review'!$V$57,"")</x:f>
      </x:c>
    </x:row>
    <x:row r="58" ht="42" customHeight="1">
      <x:c r="A58" s="53" t="str">
        <x:f>'Blind Review'!$B$58</x:f>
        <x:v>G028-A</x:v>
      </x:c>
      <x:c r="B58" s="53" t="str">
        <x:f>'Blind Review'!$C$58</x:f>
        <x:v>G028</x:v>
      </x:c>
      <x:c r="C58" s="53" t="str">
        <x:f>'Blind Review'!$D$58</x:f>
        <x:v>MV-SERUM-001</x:v>
      </x:c>
      <x:c r="D58" s="53" t="str">
        <x:f>'Blind Review'!$E$58</x:f>
        <x:v>es-MX</x:v>
      </x:c>
      <x:c r="E58" s="53" t="str">
        <x:f>'Blind Review'!$F$58</x:f>
        <x:v>short_video_script</x:v>
      </x:c>
      <x:c r="F58" s="53" t="str">
        <x:f>'Blind Review'!$G$58</x:f>
        <x:v>A</x:v>
      </x:c>
      <x:c r="G58" s="53" t="str">
        <x:f>IF(OR('Blind Review'!$Y$58="Reviewed",'Blind Review'!$Y$58="Failure"),'Blind Review'!$I$58,"")</x:f>
      </x:c>
      <x:c r="H58" s="59" t="str">
        <x:f>IF(OR('Blind Review'!$Y$58="Reviewed",'Blind Review'!$Y$58="Failure"),'Blind Review'!$X$58,"")</x:f>
      </x:c>
      <x:c r="I58" s="53" t="str">
        <x:f>IF(OR('Blind Review'!$Y$58="Reviewed",'Blind Review'!$Y$58="Failure"),'Blind Review'!$P$58,"")</x:f>
      </x:c>
      <x:c r="J58" s="53" t="str">
        <x:f>IF(OR('Blind Review'!$Y$58="Reviewed",'Blind Review'!$Y$58="Failure"),'Blind Review'!$Q$58,"")</x:f>
      </x:c>
      <x:c r="K58" s="53" t="str">
        <x:f>IF(OR('Blind Review'!$Y$58="Reviewed",'Blind Review'!$Y$58="Failure"),'Blind Review'!$R$58,"")</x:f>
      </x:c>
      <x:c r="L58" s="53" t="str">
        <x:f>'Blind Review'!$Y$58</x:f>
        <x:v>Pending</x:v>
      </x:c>
      <x:c r="M58" s="53" t="str">
        <x:f>IF('Blind Review'!$W$58&lt;&gt;"",'Blind Review'!$W$58,"")</x:f>
      </x:c>
      <x:c r="N58" s="53" t="str">
        <x:f>IF('Blind Review'!$V$58&lt;&gt;"",'Blind Review'!$V$58,"")</x:f>
      </x:c>
    </x:row>
    <x:row r="59" ht="42" customHeight="1">
      <x:c r="A59" s="53" t="str">
        <x:f>'Blind Review'!$B$59</x:f>
        <x:v>G028-B</x:v>
      </x:c>
      <x:c r="B59" s="53" t="str">
        <x:f>'Blind Review'!$C$59</x:f>
        <x:v>G028</x:v>
      </x:c>
      <x:c r="C59" s="53" t="str">
        <x:f>'Blind Review'!$D$59</x:f>
        <x:v>MV-SERUM-001</x:v>
      </x:c>
      <x:c r="D59" s="53" t="str">
        <x:f>'Blind Review'!$E$59</x:f>
        <x:v>es-MX</x:v>
      </x:c>
      <x:c r="E59" s="53" t="str">
        <x:f>'Blind Review'!$F$59</x:f>
        <x:v>short_video_script</x:v>
      </x:c>
      <x:c r="F59" s="53" t="str">
        <x:f>'Blind Review'!$G$59</x:f>
        <x:v>B</x:v>
      </x:c>
      <x:c r="G59" s="53" t="str">
        <x:f>IF(OR('Blind Review'!$Y$59="Reviewed",'Blind Review'!$Y$59="Failure"),'Blind Review'!$I$59,"")</x:f>
      </x:c>
      <x:c r="H59" s="59" t="str">
        <x:f>IF(OR('Blind Review'!$Y$59="Reviewed",'Blind Review'!$Y$59="Failure"),'Blind Review'!$X$59,"")</x:f>
      </x:c>
      <x:c r="I59" s="53" t="str">
        <x:f>IF(OR('Blind Review'!$Y$59="Reviewed",'Blind Review'!$Y$59="Failure"),'Blind Review'!$P$59,"")</x:f>
      </x:c>
      <x:c r="J59" s="53" t="str">
        <x:f>IF(OR('Blind Review'!$Y$59="Reviewed",'Blind Review'!$Y$59="Failure"),'Blind Review'!$Q$59,"")</x:f>
      </x:c>
      <x:c r="K59" s="53" t="str">
        <x:f>IF(OR('Blind Review'!$Y$59="Reviewed",'Blind Review'!$Y$59="Failure"),'Blind Review'!$R$59,"")</x:f>
      </x:c>
      <x:c r="L59" s="53" t="str">
        <x:f>'Blind Review'!$Y$59</x:f>
        <x:v>Pending</x:v>
      </x:c>
      <x:c r="M59" s="53" t="str">
        <x:f>IF('Blind Review'!$W$59&lt;&gt;"",'Blind Review'!$W$59,"")</x:f>
      </x:c>
      <x:c r="N59" s="53" t="str">
        <x:f>IF('Blind Review'!$V$59&lt;&gt;"",'Blind Review'!$V$59,"")</x:f>
      </x:c>
    </x:row>
    <x:row r="60" ht="42" customHeight="1">
      <x:c r="A60" s="53" t="str">
        <x:f>'Blind Review'!$B$60</x:f>
        <x:v>G029-A</x:v>
      </x:c>
      <x:c r="B60" s="53" t="str">
        <x:f>'Blind Review'!$C$60</x:f>
        <x:v>G029</x:v>
      </x:c>
      <x:c r="C60" s="53" t="str">
        <x:f>'Blind Review'!$D$60</x:f>
        <x:v>MV-CREAM-001</x:v>
      </x:c>
      <x:c r="D60" s="53" t="str">
        <x:f>'Blind Review'!$E$60</x:f>
        <x:v>es-MX</x:v>
      </x:c>
      <x:c r="E60" s="53" t="str">
        <x:f>'Blind Review'!$F$60</x:f>
        <x:v>product_listing</x:v>
      </x:c>
      <x:c r="F60" s="53" t="str">
        <x:f>'Blind Review'!$G$60</x:f>
        <x:v>A</x:v>
      </x:c>
      <x:c r="G60" s="53" t="str">
        <x:f>IF(OR('Blind Review'!$Y$60="Reviewed",'Blind Review'!$Y$60="Failure"),'Blind Review'!$I$60,"")</x:f>
      </x:c>
      <x:c r="H60" s="59" t="str">
        <x:f>IF(OR('Blind Review'!$Y$60="Reviewed",'Blind Review'!$Y$60="Failure"),'Blind Review'!$X$60,"")</x:f>
      </x:c>
      <x:c r="I60" s="53" t="str">
        <x:f>IF(OR('Blind Review'!$Y$60="Reviewed",'Blind Review'!$Y$60="Failure"),'Blind Review'!$P$60,"")</x:f>
      </x:c>
      <x:c r="J60" s="53" t="str">
        <x:f>IF(OR('Blind Review'!$Y$60="Reviewed",'Blind Review'!$Y$60="Failure"),'Blind Review'!$Q$60,"")</x:f>
      </x:c>
      <x:c r="K60" s="53" t="str">
        <x:f>IF(OR('Blind Review'!$Y$60="Reviewed",'Blind Review'!$Y$60="Failure"),'Blind Review'!$R$60,"")</x:f>
      </x:c>
      <x:c r="L60" s="53" t="str">
        <x:f>'Blind Review'!$Y$60</x:f>
        <x:v>Pending</x:v>
      </x:c>
      <x:c r="M60" s="53" t="str">
        <x:f>IF('Blind Review'!$W$60&lt;&gt;"",'Blind Review'!$W$60,"")</x:f>
      </x:c>
      <x:c r="N60" s="53" t="str">
        <x:f>IF('Blind Review'!$V$60&lt;&gt;"",'Blind Review'!$V$60,"")</x:f>
      </x:c>
    </x:row>
    <x:row r="61" ht="42" customHeight="1">
      <x:c r="A61" s="53" t="str">
        <x:f>'Blind Review'!$B$61</x:f>
        <x:v>G029-B</x:v>
      </x:c>
      <x:c r="B61" s="53" t="str">
        <x:f>'Blind Review'!$C$61</x:f>
        <x:v>G029</x:v>
      </x:c>
      <x:c r="C61" s="53" t="str">
        <x:f>'Blind Review'!$D$61</x:f>
        <x:v>MV-CREAM-001</x:v>
      </x:c>
      <x:c r="D61" s="53" t="str">
        <x:f>'Blind Review'!$E$61</x:f>
        <x:v>es-MX</x:v>
      </x:c>
      <x:c r="E61" s="53" t="str">
        <x:f>'Blind Review'!$F$61</x:f>
        <x:v>product_listing</x:v>
      </x:c>
      <x:c r="F61" s="53" t="str">
        <x:f>'Blind Review'!$G$61</x:f>
        <x:v>B</x:v>
      </x:c>
      <x:c r="G61" s="53" t="str">
        <x:f>IF(OR('Blind Review'!$Y$61="Reviewed",'Blind Review'!$Y$61="Failure"),'Blind Review'!$I$61,"")</x:f>
      </x:c>
      <x:c r="H61" s="59" t="str">
        <x:f>IF(OR('Blind Review'!$Y$61="Reviewed",'Blind Review'!$Y$61="Failure"),'Blind Review'!$X$61,"")</x:f>
      </x:c>
      <x:c r="I61" s="53" t="str">
        <x:f>IF(OR('Blind Review'!$Y$61="Reviewed",'Blind Review'!$Y$61="Failure"),'Blind Review'!$P$61,"")</x:f>
      </x:c>
      <x:c r="J61" s="53" t="str">
        <x:f>IF(OR('Blind Review'!$Y$61="Reviewed",'Blind Review'!$Y$61="Failure"),'Blind Review'!$Q$61,"")</x:f>
      </x:c>
      <x:c r="K61" s="53" t="str">
        <x:f>IF(OR('Blind Review'!$Y$61="Reviewed",'Blind Review'!$Y$61="Failure"),'Blind Review'!$R$61,"")</x:f>
      </x:c>
      <x:c r="L61" s="53" t="str">
        <x:f>'Blind Review'!$Y$61</x:f>
        <x:v>Pending</x:v>
      </x:c>
      <x:c r="M61" s="53" t="str">
        <x:f>IF('Blind Review'!$W$61&lt;&gt;"",'Blind Review'!$W$61,"")</x:f>
      </x:c>
      <x:c r="N61" s="53" t="str">
        <x:f>IF('Blind Review'!$V$61&lt;&gt;"",'Blind Review'!$V$61,"")</x:f>
      </x:c>
    </x:row>
    <x:row r="62" ht="42" customHeight="1">
      <x:c r="A62" s="53" t="str">
        <x:f>'Blind Review'!$B$62</x:f>
        <x:v>G030-A</x:v>
      </x:c>
      <x:c r="B62" s="53" t="str">
        <x:f>'Blind Review'!$C$62</x:f>
        <x:v>G030</x:v>
      </x:c>
      <x:c r="C62" s="53" t="str">
        <x:f>'Blind Review'!$D$62</x:f>
        <x:v>MV-KIT-001</x:v>
      </x:c>
      <x:c r="D62" s="53" t="str">
        <x:f>'Blind Review'!$E$62</x:f>
        <x:v>es-MX</x:v>
      </x:c>
      <x:c r="E62" s="53" t="str">
        <x:f>'Blind Review'!$F$62</x:f>
        <x:v>social_ad_copy</x:v>
      </x:c>
      <x:c r="F62" s="53" t="str">
        <x:f>'Blind Review'!$G$62</x:f>
        <x:v>A</x:v>
      </x:c>
      <x:c r="G62" s="53" t="str">
        <x:f>IF(OR('Blind Review'!$Y$62="Reviewed",'Blind Review'!$Y$62="Failure"),'Blind Review'!$I$62,"")</x:f>
      </x:c>
      <x:c r="H62" s="59" t="str">
        <x:f>IF(OR('Blind Review'!$Y$62="Reviewed",'Blind Review'!$Y$62="Failure"),'Blind Review'!$X$62,"")</x:f>
      </x:c>
      <x:c r="I62" s="53" t="str">
        <x:f>IF(OR('Blind Review'!$Y$62="Reviewed",'Blind Review'!$Y$62="Failure"),'Blind Review'!$P$62,"")</x:f>
      </x:c>
      <x:c r="J62" s="53" t="str">
        <x:f>IF(OR('Blind Review'!$Y$62="Reviewed",'Blind Review'!$Y$62="Failure"),'Blind Review'!$Q$62,"")</x:f>
      </x:c>
      <x:c r="K62" s="53" t="str">
        <x:f>IF(OR('Blind Review'!$Y$62="Reviewed",'Blind Review'!$Y$62="Failure"),'Blind Review'!$R$62,"")</x:f>
      </x:c>
      <x:c r="L62" s="53" t="str">
        <x:f>'Blind Review'!$Y$62</x:f>
        <x:v>Pending</x:v>
      </x:c>
      <x:c r="M62" s="53" t="str">
        <x:f>IF('Blind Review'!$W$62&lt;&gt;"",'Blind Review'!$W$62,"")</x:f>
      </x:c>
      <x:c r="N62" s="53" t="str">
        <x:f>IF('Blind Review'!$V$62&lt;&gt;"",'Blind Review'!$V$62,"")</x:f>
      </x:c>
    </x:row>
    <x:row r="63" ht="42" customHeight="1">
      <x:c r="A63" s="53" t="str">
        <x:f>'Blind Review'!$B$63</x:f>
        <x:v>G030-B</x:v>
      </x:c>
      <x:c r="B63" s="53" t="str">
        <x:f>'Blind Review'!$C$63</x:f>
        <x:v>G030</x:v>
      </x:c>
      <x:c r="C63" s="53" t="str">
        <x:f>'Blind Review'!$D$63</x:f>
        <x:v>MV-KIT-001</x:v>
      </x:c>
      <x:c r="D63" s="53" t="str">
        <x:f>'Blind Review'!$E$63</x:f>
        <x:v>es-MX</x:v>
      </x:c>
      <x:c r="E63" s="53" t="str">
        <x:f>'Blind Review'!$F$63</x:f>
        <x:v>social_ad_copy</x:v>
      </x:c>
      <x:c r="F63" s="53" t="str">
        <x:f>'Blind Review'!$G$63</x:f>
        <x:v>B</x:v>
      </x:c>
      <x:c r="G63" s="53" t="str">
        <x:f>IF(OR('Blind Review'!$Y$63="Reviewed",'Blind Review'!$Y$63="Failure"),'Blind Review'!$I$63,"")</x:f>
      </x:c>
      <x:c r="H63" s="59" t="str">
        <x:f>IF(OR('Blind Review'!$Y$63="Reviewed",'Blind Review'!$Y$63="Failure"),'Blind Review'!$X$63,"")</x:f>
      </x:c>
      <x:c r="I63" s="53" t="str">
        <x:f>IF(OR('Blind Review'!$Y$63="Reviewed",'Blind Review'!$Y$63="Failure"),'Blind Review'!$P$63,"")</x:f>
      </x:c>
      <x:c r="J63" s="53" t="str">
        <x:f>IF(OR('Blind Review'!$Y$63="Reviewed",'Blind Review'!$Y$63="Failure"),'Blind Review'!$Q$63,"")</x:f>
      </x:c>
      <x:c r="K63" s="53" t="str">
        <x:f>IF(OR('Blind Review'!$Y$63="Reviewed",'Blind Review'!$Y$63="Failure"),'Blind Review'!$R$63,"")</x:f>
      </x:c>
      <x:c r="L63" s="53" t="str">
        <x:f>'Blind Review'!$Y$63</x:f>
        <x:v>Pending</x:v>
      </x:c>
      <x:c r="M63" s="53" t="str">
        <x:f>IF('Blind Review'!$W$63&lt;&gt;"",'Blind Review'!$W$63,"")</x:f>
      </x:c>
      <x:c r="N63" s="53" t="str">
        <x:f>IF('Blind Review'!$V$63&lt;&gt;"",'Blind Review'!$V$63,"")</x:f>
      </x:c>
    </x:row>
  </x:sheetData>
  <x:mergeCells>
    <x:mergeCell ref="A1:N1"/>
    <x:mergeCell ref="A2:N2"/>
  </x:mergeCells>
  <x:conditionalFormatting sqref="L4:L63">
    <x:cfRule type="containsText" dxfId="6" priority="1" operator="containsText" text="Failure"/>
  </x:conditionalFormatting>
  <x:pageMargins left="0.7" right="0.7" top="0.75" bottom="0.75" header="0.3" footer="0.3"/>
  <x:tableParts count="1">
    <x:tablePart xmlns:r="http://schemas.openxmlformats.org/officeDocument/2006/relationships" r:id="R10cbe24560664e7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7" hidden="0" customWidth="1"/>
    <x:col min="3" max="3" width="37" hidden="0" customWidth="1"/>
    <x:col min="4" max="4" width="37" hidden="0" customWidth="1"/>
    <x:col min="5" max="5" width="43" hidden="0" customWidth="1"/>
    <x:col min="6" max="6" width="43" hidden="0" customWidth="1"/>
  </x:cols>
  <x:sheetData>
    <x:row r="1" ht="34" customHeight="1">
      <x:c r="A1" s="3" t="str">
        <x:v>Unified Human Evaluation Rubric</x:v>
      </x:c>
      <x:c r="B1" s="3"/>
      <x:c r="C1" s="3"/>
      <x:c r="D1" s="3"/>
      <x:c r="E1" s="3"/>
      <x:c r="F1" s="3"/>
    </x:row>
    <x:row r="2">
      <x:c r="A2" s="6" t="str">
        <x:v>统一使用下列锚点；2 分与 4 分表示相邻锚点之间。事实准确性为硬判断，不并入 1–5 分平均值。</x:v>
      </x:c>
      <x:c r="B2" s="6"/>
      <x:c r="C2" s="6"/>
      <x:c r="D2" s="6"/>
      <x:c r="E2" s="6"/>
      <x:c r="F2" s="6"/>
    </x:row>
    <x:row r="4">
      <x:c r="A4" s="16" t="str">
        <x:v>Dimension</x:v>
      </x:c>
      <x:c r="B4" s="45" t="str">
        <x:v>1</x:v>
      </x:c>
      <x:c r="C4" s="45" t="str">
        <x:v>3</x:v>
      </x:c>
      <x:c r="D4" s="45" t="str">
        <x:v>5</x:v>
      </x:c>
      <x:c r="E4" s="45" t="str">
        <x:v>What to Check</x:v>
      </x:c>
      <x:c r="F4" s="17" t="str">
        <x:v>Required Evidence</x:v>
      </x:c>
    </x:row>
    <x:row r="5" ht="76" customHeight="1">
      <x:c r="A5" s="61" t="str">
        <x:v>Fact Accuracy</x:v>
      </x:c>
      <x:c r="B5" s="22" t="str">
        <x:v>Fail：存在错误、矛盾、无依据或高风险事实。</x:v>
      </x:c>
      <x:c r="C5" s="22" t="str">
        <x:v>—</x:v>
      </x:c>
      <x:c r="D5" s="22" t="str">
        <x:v>Pass：所有可核验陈述与事实参考一致。</x:v>
      </x:c>
      <x:c r="E5" s="22" t="str">
        <x:v>数字、容量、成分、功效、用法、认证、适用人群。</x:v>
      </x:c>
      <x:c r="F5" s="22" t="str">
        <x:v>Fact Reference；必要时记录具体矛盾。</x:v>
      </x:c>
    </x:row>
    <x:row r="6" ht="76" customHeight="1">
      <x:c r="A6" s="61" t="str">
        <x:v>Information Completeness</x:v>
      </x:c>
      <x:c r="B6" s="22" t="str">
        <x:v>缺少核心商品、使用或规格信息。</x:v>
      </x:c>
      <x:c r="C6" s="22" t="str">
        <x:v>覆盖主要信息，但有明显遗漏。</x:v>
      </x:c>
      <x:c r="D6" s="22" t="str">
        <x:v>关键信息完整且无冗余。</x:v>
      </x:c>
      <x:c r="E6" s="22" t="str">
        <x:v>品类、特征、功效、用法、规格；按内容类型判断。</x:v>
      </x:c>
      <x:c r="F6" s="22" t="str">
        <x:v>指出遗漏或多余信息。</x:v>
      </x:c>
    </x:row>
    <x:row r="7" ht="76" customHeight="1">
      <x:c r="A7" s="61" t="str">
        <x:v>Language Naturalness</x:v>
      </x:c>
      <x:c r="B7" s="22" t="str">
        <x:v>明显翻译腔或语法问题，影响理解。</x:v>
      </x:c>
      <x:c r="C7" s="22" t="str">
        <x:v>基本自然，有少量生硬表达。</x:v>
      </x:c>
      <x:c r="D7" s="22" t="str">
        <x:v>符合目标语言习惯，流畅清楚。</x:v>
      </x:c>
      <x:c r="E7" s="22" t="str">
        <x:v>en-US 或 es-MX 的词序、词形、搭配和节奏。</x:v>
      </x:c>
      <x:c r="F7" s="22" t="str">
        <x:v>记录不自然短语。</x:v>
      </x:c>
    </x:row>
    <x:row r="8" ht="76" customHeight="1">
      <x:c r="A8" s="61" t="str">
        <x:v>Cultural Fit</x:v>
      </x:c>
      <x:c r="B8" s="22" t="str">
        <x:v>不符合目标市场表达习惯或语域。</x:v>
      </x:c>
      <x:c r="C8" s="22" t="str">
        <x:v>基本适配，但本地感有限。</x:v>
      </x:c>
      <x:c r="D8" s="22" t="str">
        <x:v>自然符合目标市场语境且不过度刻板化。</x:v>
      </x:c>
      <x:c r="E8" s="22" t="str">
        <x:v>US/墨西哥受众、货币、称谓、tú 体系、使用场景。</x:v>
      </x:c>
      <x:c r="F8" s="22" t="str">
        <x:v>记录市场错配。</x:v>
      </x:c>
    </x:row>
    <x:row r="9" ht="76" customHeight="1">
      <x:c r="A9" s="61" t="str">
        <x:v>Brand Consistency</x:v>
      </x:c>
      <x:c r="B9" s="22" t="str">
        <x:v>夸张、高压、医疗化或不可信。</x:v>
      </x:c>
      <x:c r="C9" s="22" t="str">
        <x:v>大体克制，但品牌感不稳定。</x:v>
      </x:c>
      <x:c r="D9" s="22" t="str">
        <x:v>温和、清晰、可信、简洁。</x:v>
      </x:c>
      <x:c r="E9" s="22" t="str">
        <x:v>禁用词、谨慎限定语、CTA、语气。</x:v>
      </x:c>
      <x:c r="F9" s="22" t="str">
        <x:v>记录触发词或语气问题。</x:v>
      </x:c>
    </x:row>
    <x:row r="10" ht="76" customHeight="1">
      <x:c r="A10" s="61" t="str">
        <x:v>Platform Fit</x:v>
      </x:c>
      <x:c r="B10" s="22" t="str">
        <x:v>违反结构或硬性要求。</x:v>
      </x:c>
      <x:c r="C10" s="22" t="str">
        <x:v>可使用但需明显调整。</x:v>
      </x:c>
      <x:c r="D10" s="22" t="str">
        <x:v>结构、长度、CTA、AI 标识和内容类型高度适配。</x:v>
      </x:c>
      <x:c r="E10" s="22" t="str">
        <x:v>Listing、短视频或社媒模板要求。</x:v>
      </x:c>
      <x:c r="F10" s="22" t="str">
        <x:v>记录需要调整的字段。</x:v>
      </x:c>
    </x:row>
    <x:row r="11" ht="76" customHeight="1">
      <x:c r="A11" s="61" t="str">
        <x:v>Marketing Persuasiveness</x:v>
      </x:c>
      <x:c r="B11" s="22" t="str">
        <x:v>缺乏重点或可信说服力。</x:v>
      </x:c>
      <x:c r="C11" s="22" t="str">
        <x:v>卖点可识别，但吸引力一般。</x:v>
      </x:c>
      <x:c r="D11" s="22" t="str">
        <x:v>在事实边界内清晰、有吸引力、有行动导向。</x:v>
      </x:c>
      <x:c r="E11" s="22" t="str">
        <x:v>Hook、卖点顺序、使用场景、CTA。</x:v>
      </x:c>
      <x:c r="F11" s="22" t="str">
        <x:v>记录最强/最弱卖点。</x:v>
      </x:c>
    </x:row>
    <x:row r="12" ht="76" customHeight="1">
      <x:c r="A12" s="61" t="str">
        <x:v>Publishability</x:v>
      </x:c>
      <x:c r="B12" s="22" t="str">
        <x:v>不可发布，需要重写。</x:v>
      </x:c>
      <x:c r="C12" s="22" t="str">
        <x:v>修改后可发布。</x:v>
      </x:c>
      <x:c r="D12" s="22" t="str">
        <x:v>仅需轻微校对即可进入人工终审。</x:v>
      </x:c>
      <x:c r="E12" s="22" t="str">
        <x:v>综合事实、语言、品牌、平台和风险。</x:v>
      </x:c>
      <x:c r="F12" s="22" t="str">
        <x:v>估计修改次数并说明。</x:v>
      </x:c>
    </x:row>
    <x:row r="14">
      <x:c r="A14" s="16" t="str">
        <x:v>Content Type</x:v>
      </x:c>
      <x:c r="B14" s="45" t="str">
        <x:v>Minimum Structure</x:v>
      </x:c>
      <x:c r="C14" s="45" t="str">
        <x:v>Platform Scope</x:v>
      </x:c>
      <x:c r="D14" s="45" t="str">
        <x:v>CTA Expectation</x:v>
      </x:c>
      <x:c r="E14" s="45" t="str">
        <x:v>AI Field</x:v>
      </x:c>
      <x:c r="F14" s="17" t="str">
        <x:v>Notes</x:v>
      </x:c>
    </x:row>
    <x:row r="15" ht="68" customHeight="1">
      <x:c r="A15" s="60" t="str">
        <x:v>product_listing</x:v>
      </x:c>
      <x:c r="B15" s="22" t="str">
        <x:v>1 title + 5 bullets + 1 description</x:v>
      </x:c>
      <x:c r="C15" s="22" t="str">
        <x:v>Google Merchant Center precheck</x:v>
      </x:c>
      <x:c r="D15" s="22" t="str">
        <x:v>No standalone CTA required</x:v>
      </x:c>
      <x:c r="E15" s="22" t="str">
        <x:v>Structured AI title/description</x:v>
      </x:c>
      <x:c r="F15" s="22" t="str">
        <x:v>Do not put price or free shipping in title/description.</x:v>
      </x:c>
    </x:row>
    <x:row r="16" ht="68" customHeight="1">
      <x:c r="A16" s="60" t="str">
        <x:v>short_video_script</x:v>
      </x:c>
      <x:c r="B16" s="22" t="str">
        <x:v>15 s scene sequence + caption</x:v>
      </x:c>
      <x:c r="C16" s="22" t="str">
        <x:v>TikTok Ads precheck</x:v>
      </x:c>
      <x:c r="D16" s="22" t="str">
        <x:v>One invitation CTA</x:v>
      </x:c>
      <x:c r="E16" s="22" t="str">
        <x:v>AIGC label/method field</x:v>
      </x:c>
      <x:c r="F16" s="22" t="str">
        <x:v>Caption should not use links, @ or hashtags for Non-Spark fixture.</x:v>
      </x:c>
    </x:row>
    <x:row r="17" ht="68" customHeight="1">
      <x:c r="A17" s="60" t="str">
        <x:v>social_ad_copy</x:v>
      </x:c>
      <x:c r="B17" s="22" t="str">
        <x:v>Hook + body + CTA</x:v>
      </x:c>
      <x:c r="C17" s="22" t="str">
        <x:v>Generic Social internal template</x:v>
      </x:c>
      <x:c r="D17" s="22" t="str">
        <x:v>One invitation CTA</x:v>
      </x:c>
      <x:c r="E17" s="22" t="str">
        <x:v>AI-use status</x:v>
      </x:c>
      <x:c r="F17" s="22" t="str">
        <x:v>A real publication platform must be selected before publishing.</x:v>
      </x:c>
    </x:row>
    <x:row r="18" ht="68" customHeight="1">
      <x:c r="A18" s="60" t="str">
        <x:v>Scoring note</x:v>
      </x:c>
      <x:c r="B18" s="22" t="str">
        <x:v>Judge the content shown, not the presumed system.</x:v>
      </x:c>
      <x:c r="C18" s="22" t="str">
        <x:v>Precheck ≠ platform approval</x:v>
      </x:c>
      <x:c r="D18" s="22" t="str">
        <x:v>Avoid high-pressure or unsupported urgency</x:v>
      </x:c>
      <x:c r="E18" s="22" t="str">
        <x:v>Missing field reduces platform fit</x:v>
      </x:c>
      <x:c r="F18" s="22" t="str">
        <x:v>Do not infer facts from consumer insight.</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20" hidden="0" customWidth="1"/>
    <x:col min="5" max="5" width="13" hidden="0" customWidth="1"/>
    <x:col min="6" max="6" width="13" hidden="0" customWidth="1"/>
    <x:col min="7" max="7" width="43" hidden="0" customWidth="1"/>
    <x:col min="8" max="8" width="43" hidden="0" customWidth="1"/>
    <x:col min="9" max="9" width="48" hidden="0" customWidth="1"/>
    <x:col min="10" max="10" width="48" hidden="0" customWidth="1"/>
    <x:col min="11" max="11" width="48" hidden="0" customWidth="1"/>
    <x:col min="12" max="12" width="34" hidden="0" customWidth="1"/>
  </x:cols>
  <x:sheetData>
    <x:row r="1" ht="34" customHeight="1">
      <x:c r="A1" s="3" t="str">
        <x:v>Fact Reference｜Simulated Product Facts</x:v>
      </x:c>
      <x:c r="B1" s="3"/>
      <x:c r="C1" s="3"/>
      <x:c r="D1" s="3"/>
      <x:c r="E1" s="3"/>
      <x:c r="F1" s="3"/>
      <x:c r="G1" s="3"/>
      <x:c r="H1" s="3"/>
      <x:c r="I1" s="3"/>
      <x:c r="J1" s="3"/>
      <x:c r="K1" s="3"/>
      <x:c r="L1" s="3"/>
    </x:row>
    <x:row r="2">
      <x:c r="A2" s="6" t="str">
        <x:v>用于事实准确性判断。只允许在谨慎边界内复述 allowed benefit；禁止表达不因文案自然或有吸引力而放行。</x:v>
      </x:c>
      <x:c r="B2" s="6"/>
      <x:c r="C2" s="6"/>
      <x:c r="D2" s="6"/>
      <x:c r="E2" s="6"/>
      <x:c r="F2" s="6"/>
      <x:c r="G2" s="6"/>
      <x:c r="H2" s="6"/>
      <x:c r="I2" s="6"/>
      <x:c r="J2" s="6"/>
      <x:c r="K2" s="6"/>
      <x:c r="L2" s="6"/>
    </x:row>
    <x:row r="3">
      <x:c r="A3" s="16" t="str">
        <x:v>SKU</x:v>
      </x:c>
      <x:c r="B3" s="45" t="str">
        <x:v>Chinese Name</x:v>
      </x:c>
      <x:c r="C3" s="45" t="str">
        <x:v>Category / Preferred Terms</x:v>
      </x:c>
      <x:c r="D3" s="45" t="str">
        <x:v>Size</x:v>
      </x:c>
      <x:c r="E3" s="45" t="str">
        <x:v>US Price</x:v>
      </x:c>
      <x:c r="F3" s="45" t="str">
        <x:v>MX Price</x:v>
      </x:c>
      <x:c r="G3" s="45" t="str">
        <x:v>Verified Features</x:v>
      </x:c>
      <x:c r="H3" s="45" t="str">
        <x:v>Selected Ingredients</x:v>
      </x:c>
      <x:c r="I3" s="45" t="str">
        <x:v>Allowed Benefit Boundary</x:v>
      </x:c>
      <x:c r="J3" s="45" t="str">
        <x:v>Usage</x:v>
      </x:c>
      <x:c r="K3" s="45" t="str">
        <x:v>Prohibited Claims</x:v>
      </x:c>
      <x:c r="L3" s="17" t="str">
        <x:v>Source</x:v>
      </x:c>
    </x:row>
    <x:row r="4" ht="112" customHeight="1">
      <x:c r="A4" s="22" t="str">
        <x:v>MV-CLEAN-001</x:v>
      </x:c>
      <x:c r="B4" s="22" t="str">
        <x:v>云柔氨基酸洁面乳</x:v>
      </x:c>
      <x:c r="C4" s="22" t="str">
        <x:v>面部洁面乳 / facial cleanser / limpiador facial</x:v>
      </x:c>
      <x:c r="D4" s="22" t="str">
        <x:v>120 mL</x:v>
      </x:c>
      <x:c r="E4" s="22" t="str">
        <x:v>USD 16</x:v>
      </x:c>
      <x:c r="F4" s="22" t="str">
        <x:v>MXN 319</x:v>
      </x:c>
      <x:c r="G4" s="22" t="str">
        <x:v>无添加香精；不含硫酸盐表面活性剂；pH 5.5±0.5；泵式包装</x:v>
      </x:c>
      <x:c r="H4" s="22" t="str">
        <x:v>甘油、椰油酰甘氨酸钠、椰油酰胺丙基甜菜碱、泛醇、甜菜碱、尿囊素</x:v>
      </x:c>
      <x:c r="I4" s="22" t="str">
        <x:v>帮助洗去表面污垢和多余油脂；清洁后肌肤感觉舒适</x:v>
      </x:c>
      <x:c r="J4" s="22" t="str">
        <x:v>1–2 泵；湿润面部按摩约 30 秒后冲洗；避开眼周</x:v>
      </x:c>
      <x:c r="K4" s="22" t="str">
        <x:v>治疗痤疮/湿疹；深层排毒；永久缩小毛孔；低敏/临床证明</x:v>
      </x:c>
      <x:c r="L4" s="22" t="str">
        <x:v>data/products/product_facts.json</x:v>
      </x:c>
    </x:row>
    <x:row r="5" ht="112" customHeight="1">
      <x:c r="A5" s="22" t="str">
        <x:v>MV-SERUM-001</x:v>
      </x:c>
      <x:c r="B5" s="22" t="str">
        <x:v>水衡保湿精华</x:v>
      </x:c>
      <x:c r="C5" s="22" t="str">
        <x:v>保湿精华 / hydrating serum / sérum hidratante</x:v>
      </x:c>
      <x:c r="D5" s="22" t="str">
        <x:v>30 mL</x:v>
      </x:c>
      <x:c r="E5" s="22" t="str">
        <x:v>USD 24</x:v>
      </x:c>
      <x:c r="F5" s="22" t="str">
        <x:v>MXN 479</x:v>
      </x:c>
      <x:c r="G5" s="22" t="str">
        <x:v>无添加香精；水基凝露；透明质酸钠与泛醇；按压泵</x:v>
      </x:c>
      <x:c r="H5" s="22" t="str">
        <x:v>甘油、丙二醇、透明质酸钠、泛醇、甜菜碱</x:v>
      </x:c>
      <x:c r="I5" s="22" t="str">
        <x:v>帮助肌肤感觉水润、柔软；可作为面霜前的补水步骤</x:v>
      </x:c>
      <x:c r="J5" s="22" t="str">
        <x:v>洁面后 1–2 泵用于面部和颈部；再用面霜；避开眼周</x:v>
      </x:c>
      <x:c r="K5" s="22" t="str">
        <x:v>24/72 小时保湿；修复屏障；消除细纹；临床证明；所有肤质</x:v>
      </x:c>
      <x:c r="L5" s="22" t="str">
        <x:v>data/products/product_facts.json</x:v>
      </x:c>
    </x:row>
    <x:row r="6" ht="112" customHeight="1">
      <x:c r="A6" s="22" t="str">
        <x:v>MV-CREAM-001</x:v>
      </x:c>
      <x:c r="B6" s="22" t="str">
        <x:v>静润无香面霜</x:v>
      </x:c>
      <x:c r="C6" s="22" t="str">
        <x:v>面部保湿霜 / facial moisturizer / crema hidratante facial</x:v>
      </x:c>
      <x:c r="D6" s="22" t="str">
        <x:v>50 mL</x:v>
      </x:c>
      <x:c r="E6" s="22" t="str">
        <x:v>USD 22</x:v>
      </x:c>
      <x:c r="F6" s="22" t="str">
        <x:v>MXN 439</x:v>
      </x:c>
      <x:c r="G6" s="22" t="str">
        <x:v>无添加香精；含角鲨烷、泛醇和 β-葡聚糖；乳霜质地</x:v>
      </x:c>
      <x:c r="H6" s="22" t="str">
        <x:v>甘油、辛酸/癸酸甘油三酯、角鲨烷、泛醇、β-葡聚糖</x:v>
      </x:c>
      <x:c r="I6" s="22" t="str">
        <x:v>帮助肌肤感觉柔软、滋润；补充日常保湿步骤</x:v>
      </x:c>
      <x:c r="J6" s="22" t="str">
        <x:v>用于清洁后的面部和颈部；日间之后另用防晒</x:v>
      </x:c>
      <x:c r="K6" s="22" t="str">
        <x:v>治疗干燥症/湿疹；修复屏障；消炎；零刺激；医生推荐</x:v>
      </x:c>
      <x:c r="L6" s="22" t="str">
        <x:v>data/products/product_facts.json</x:v>
      </x:c>
    </x:row>
    <x:row r="7" ht="112" customHeight="1">
      <x:c r="A7" s="22" t="str">
        <x:v>MV-HAND-001</x:v>
      </x:c>
      <x:c r="B7" s="22" t="str">
        <x:v>柔护无香护手霜</x:v>
      </x:c>
      <x:c r="C7" s="22" t="str">
        <x:v>护手霜 / hand cream / crema para manos</x:v>
      </x:c>
      <x:c r="D7" s="22" t="str">
        <x:v>60 mL</x:v>
      </x:c>
      <x:c r="E7" s="22" t="str">
        <x:v>USD 12</x:v>
      </x:c>
      <x:c r="F7" s="22" t="str">
        <x:v>MXN 239</x:v>
      </x:c>
      <x:c r="G7" s="22" t="str">
        <x:v>无添加香精；含甘油、乳木果脂、泛醇和尿囊素；软管包装</x:v>
      </x:c>
      <x:c r="H7" s="22" t="str">
        <x:v>甘油、乳木果脂、泛醇、尿囊素、生育酚</x:v>
      </x:c>
      <x:c r="I7" s="22" t="str">
        <x:v>帮助手部肌肤感觉柔软、滋润；适合日常洗手后使用</x:v>
      </x:c>
      <x:c r="J7" s="22" t="str">
        <x:v>按摩双手及指缘；按需重复；仅限外用</x:v>
      </x:c>
      <x:c r="K7" s="22" t="str">
        <x:v>治愈皲裂/伤口；抗菌；消炎；医用屏障；全天保湿</x:v>
      </x:c>
      <x:c r="L7" s="22" t="str">
        <x:v>data/products/product_facts.json</x:v>
      </x:c>
    </x:row>
    <x:row r="8" ht="112" customHeight="1">
      <x:c r="A8" s="22" t="str">
        <x:v>MV-KIT-001</x:v>
      </x:c>
      <x:c r="B8" s="22" t="str">
        <x:v>轻行基础护肤套装</x:v>
      </x:c>
      <x:c r="C8" s="22" t="str">
        <x:v>旅行护肤套装 / travel skincare set / set básico de cuidado facial para viaje</x:v>
      </x:c>
      <x:c r="D8" s="22" t="str">
        <x:v>3 pieces / 55 mL total</x:v>
      </x:c>
      <x:c r="E8" s="22" t="str">
        <x:v>USD 32</x:v>
      </x:c>
      <x:c r="F8" s="22" t="str">
        <x:v>MXN 639</x:v>
      </x:c>
      <x:c r="G8" s="22" t="str">
        <x:v>3 件迷你装；均无添加香精；纸质外盒集中收纳</x:v>
      </x:c>
      <x:c r="H8" s="22" t="str">
        <x:v>30 mL 洁面乳 + 10 mL 精华 + 15 mL 面霜；合计 55 mL</x:v>
      </x:c>
      <x:c r="I8" s="22" t="str">
        <x:v>组合基础清洁、补水和保湿步骤；便于精简携带</x:v>
      </x:c>
      <x:c r="J8" s="22" t="str">
        <x:v>洁面乳→精华→面霜；各单品用法与正装一致</x:v>
      </x:c>
      <x:c r="K8" s="22" t="str">
        <x:v>TSA/航空批准；解决所有皮肤问题；预防疾病；限量/售罄/虚构折扣</x:v>
      </x:c>
      <x:c r="L8" s="22" t="str">
        <x:v>data/products/product_facts.json</x:v>
      </x:c>
    </x:row>
  </x:sheetData>
  <x:mergeCells>
    <x:mergeCell ref="A1:L1"/>
    <x:mergeCell ref="A2:L2"/>
  </x:mergeCells>
  <x:pageMargins left="0.7" right="0.7" top="0.75" bottom="0.75" header="0.3" footer="0.3"/>
  <x:tableParts count="1">
    <x:tablePart xmlns:r="http://schemas.openxmlformats.org/officeDocument/2006/relationships" r:id="Rce8772c9283a4ce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25" hidden="0" customWidth="1"/>
    <x:col min="3" max="3" width="14" hidden="0" customWidth="1"/>
    <x:col min="4" max="4" width="14" hidden="0" customWidth="1"/>
    <x:col min="5" max="5" width="33" hidden="0" customWidth="1"/>
    <x:col min="6" max="6" width="42" hidden="0" customWidth="1"/>
  </x:cols>
  <x:sheetData>
    <x:row r="1" ht="34" customHeight="1">
      <x:c r="A1" s="3" t="str">
        <x:v>Coverage QA｜30 Groups / 60 Candidates</x:v>
      </x:c>
      <x:c r="B1" s="3"/>
      <x:c r="C1" s="3"/>
      <x:c r="D1" s="3"/>
      <x:c r="E1" s="3"/>
      <x:c r="F1" s="3"/>
    </x:row>
    <x:row r="2">
      <x:c r="A2" s="6" t="str">
        <x:v>本页验证样本覆盖和盲化平衡，不包含任何版本映射。</x:v>
      </x:c>
      <x:c r="B2" s="6"/>
      <x:c r="C2" s="6"/>
      <x:c r="D2" s="6"/>
      <x:c r="E2" s="6"/>
      <x:c r="F2" s="6"/>
    </x:row>
    <x:row r="4">
      <x:c r="A4" s="16" t="str">
        <x:v>Check</x:v>
      </x:c>
      <x:c r="B4" s="45" t="str">
        <x:v>Filter Value</x:v>
      </x:c>
      <x:c r="C4" s="45" t="str">
        <x:v>Actual</x:v>
      </x:c>
      <x:c r="D4" s="45" t="str">
        <x:v>Expected</x:v>
      </x:c>
      <x:c r="E4" s="45" t="str">
        <x:v>Status</x:v>
      </x:c>
      <x:c r="F4" s="17" t="str">
        <x:v>Formula / Meaning</x:v>
      </x:c>
    </x:row>
    <x:row r="5">
      <x:c r="A5" s="22" t="str">
        <x:v>Total groups</x:v>
      </x:c>
      <x:c r="B5" s="22" t="str">
        <x:v>—</x:v>
      </x:c>
      <x:c r="C5" s="53" t="n">
        <x:f>COUNTA('Pair Progress'!$B$4:$B$33)</x:f>
        <x:v>30</x:v>
      </x:c>
      <x:c r="D5" s="53" t="n">
        <x:v>30</x:v>
      </x:c>
      <x:c r="E5" s="53" t="str">
        <x:f>IF(C5=D5,"PASS","CHECK")</x:f>
        <x:v>PASS</x:v>
      </x:c>
      <x:c r="F5" s="22" t="str">
        <x:v>30 unique blind group rows</x:v>
      </x:c>
    </x:row>
    <x:row r="6">
      <x:c r="A6" s="22" t="str">
        <x:v>Total candidates</x:v>
      </x:c>
      <x:c r="B6" s="22" t="str">
        <x:v>—</x:v>
      </x:c>
      <x:c r="C6" s="53" t="n">
        <x:f>COUNTA('Blind Review'!$B$4:$B$63)</x:f>
        <x:v>60</x:v>
      </x:c>
      <x:c r="D6" s="53" t="n">
        <x:v>60</x:v>
      </x:c>
      <x:c r="E6" s="53" t="str">
        <x:f>IF(C6=D6,"PASS","CHECK")</x:f>
        <x:v>PASS</x:v>
      </x:c>
      <x:c r="F6" s="22" t="str">
        <x:v>2 candidates per group</x:v>
      </x:c>
    </x:row>
    <x:row r="7">
      <x:c r="A7" s="22" t="str">
        <x:v>Candidate A rows</x:v>
      </x:c>
      <x:c r="B7" s="22" t="str">
        <x:v>A</x:v>
      </x:c>
      <x:c r="C7" s="53" t="n">
        <x:f>COUNTIF('Blind Review'!$G$4:$G$63,B7)</x:f>
        <x:v>30</x:v>
      </x:c>
      <x:c r="D7" s="53" t="n">
        <x:v>30</x:v>
      </x:c>
      <x:c r="E7" s="53" t="str">
        <x:f>IF(C7=D7,"PASS","CHECK")</x:f>
        <x:v>PASS</x:v>
      </x:c>
      <x:c r="F7" s="22" t="str">
        <x:v>Blind-label balance</x:v>
      </x:c>
    </x:row>
    <x:row r="8">
      <x:c r="A8" s="22" t="str">
        <x:v>Candidate B rows</x:v>
      </x:c>
      <x:c r="B8" s="22" t="str">
        <x:v>B</x:v>
      </x:c>
      <x:c r="C8" s="53" t="n">
        <x:f>COUNTIF('Blind Review'!$G$4:$G$63,B8)</x:f>
        <x:v>30</x:v>
      </x:c>
      <x:c r="D8" s="53" t="n">
        <x:v>30</x:v>
      </x:c>
      <x:c r="E8" s="53" t="str">
        <x:f>IF(C8=D8,"PASS","CHECK")</x:f>
        <x:v>PASS</x:v>
      </x:c>
      <x:c r="F8" s="22" t="str">
        <x:v>Blind-label balance</x:v>
      </x:c>
    </x:row>
    <x:row r="9">
      <x:c r="A9" s="22" t="str">
        <x:v>English candidates</x:v>
      </x:c>
      <x:c r="B9" s="22" t="str">
        <x:v>en-US</x:v>
      </x:c>
      <x:c r="C9" s="53" t="n">
        <x:f>COUNTIF('Blind Review'!$E$4:$E$63,B9)</x:f>
        <x:v>30</x:v>
      </x:c>
      <x:c r="D9" s="53" t="n">
        <x:v>30</x:v>
      </x:c>
      <x:c r="E9" s="53" t="str">
        <x:f>IF(C9=D9,"PASS","CHECK")</x:f>
        <x:v>PASS</x:v>
      </x:c>
      <x:c r="F9" s="22" t="str">
        <x:v>15 groups × 2 candidates</x:v>
      </x:c>
    </x:row>
    <x:row r="10">
      <x:c r="A10" s="22" t="str">
        <x:v>Spanish candidates</x:v>
      </x:c>
      <x:c r="B10" s="22" t="str">
        <x:v>es-MX</x:v>
      </x:c>
      <x:c r="C10" s="53" t="n">
        <x:f>COUNTIF('Blind Review'!$E$4:$E$63,B10)</x:f>
        <x:v>30</x:v>
      </x:c>
      <x:c r="D10" s="53" t="n">
        <x:v>30</x:v>
      </x:c>
      <x:c r="E10" s="53" t="str">
        <x:f>IF(C10=D10,"PASS","CHECK")</x:f>
        <x:v>PASS</x:v>
      </x:c>
      <x:c r="F10" s="22" t="str">
        <x:v>15 groups × 2 candidates</x:v>
      </x:c>
    </x:row>
    <x:row r="11">
      <x:c r="A11" s="22" t="str">
        <x:v>Listing candidates</x:v>
      </x:c>
      <x:c r="B11" s="22" t="str">
        <x:v>product_listing</x:v>
      </x:c>
      <x:c r="C11" s="53" t="n">
        <x:f>COUNTIF('Blind Review'!$F$4:$F$63,B11)</x:f>
        <x:v>20</x:v>
      </x:c>
      <x:c r="D11" s="53" t="n">
        <x:v>20</x:v>
      </x:c>
      <x:c r="E11" s="53" t="str">
        <x:f>IF(C11=D11,"PASS","CHECK")</x:f>
        <x:v>PASS</x:v>
      </x:c>
      <x:c r="F11" s="22" t="str">
        <x:v>10 groups × 2 candidates</x:v>
      </x:c>
    </x:row>
    <x:row r="12">
      <x:c r="A12" s="22" t="str">
        <x:v>Video candidates</x:v>
      </x:c>
      <x:c r="B12" s="22" t="str">
        <x:v>short_video_script</x:v>
      </x:c>
      <x:c r="C12" s="53" t="n">
        <x:f>COUNTIF('Blind Review'!$F$4:$F$63,B12)</x:f>
        <x:v>20</x:v>
      </x:c>
      <x:c r="D12" s="53" t="n">
        <x:v>20</x:v>
      </x:c>
      <x:c r="E12" s="53" t="str">
        <x:f>IF(C12=D12,"PASS","CHECK")</x:f>
        <x:v>PASS</x:v>
      </x:c>
      <x:c r="F12" s="22" t="str">
        <x:v>10 groups × 2 candidates</x:v>
      </x:c>
    </x:row>
    <x:row r="13">
      <x:c r="A13" s="22" t="str">
        <x:v>Social candidates</x:v>
      </x:c>
      <x:c r="B13" s="22" t="str">
        <x:v>social_ad_copy</x:v>
      </x:c>
      <x:c r="C13" s="53" t="n">
        <x:f>COUNTIF('Blind Review'!$F$4:$F$63,B13)</x:f>
        <x:v>20</x:v>
      </x:c>
      <x:c r="D13" s="53" t="n">
        <x:v>20</x:v>
      </x:c>
      <x:c r="E13" s="53" t="str">
        <x:f>IF(C13=D13,"PASS","CHECK")</x:f>
        <x:v>PASS</x:v>
      </x:c>
      <x:c r="F13" s="22" t="str">
        <x:v>10 groups × 2 candidates</x:v>
      </x:c>
    </x:row>
    <x:row r="16">
      <x:c r="A16" s="16" t="str">
        <x:v>SKU</x:v>
      </x:c>
      <x:c r="B16" s="45" t="str">
        <x:v>Actual Candidate Rows</x:v>
      </x:c>
      <x:c r="C16" s="45" t="str">
        <x:v>Expected</x:v>
      </x:c>
      <x:c r="D16" s="45" t="str">
        <x:v>Status</x:v>
      </x:c>
      <x:c r="E16" s="45" t="str">
        <x:v>Languages</x:v>
      </x:c>
      <x:c r="F16" s="17" t="str">
        <x:v>Content Types</x:v>
      </x:c>
    </x:row>
    <x:row r="17">
      <x:c r="A17" s="22" t="str">
        <x:v>MV-CLEAN-001</x:v>
      </x:c>
      <x:c r="B17" s="53" t="n">
        <x:f>COUNTIF('Blind Review'!$D$4:$D$63,A17)</x:f>
        <x:v>12</x:v>
      </x:c>
      <x:c r="C17" s="53" t="n">
        <x:v>12</x:v>
      </x:c>
      <x:c r="D17" s="53" t="str">
        <x:f>IF(B17=C17,"PASS","CHECK")</x:f>
        <x:v>PASS</x:v>
      </x:c>
      <x:c r="E17" s="22" t="str">
        <x:v>en-US + es-MX</x:v>
      </x:c>
      <x:c r="F17" s="22" t="str">
        <x:v>listing + video + social</x:v>
      </x:c>
    </x:row>
    <x:row r="18">
      <x:c r="A18" s="22" t="str">
        <x:v>MV-SERUM-001</x:v>
      </x:c>
      <x:c r="B18" s="53" t="n">
        <x:f>COUNTIF('Blind Review'!$D$4:$D$63,A18)</x:f>
        <x:v>12</x:v>
      </x:c>
      <x:c r="C18" s="53" t="n">
        <x:v>12</x:v>
      </x:c>
      <x:c r="D18" s="53" t="str">
        <x:f>IF(B18=C18,"PASS","CHECK")</x:f>
        <x:v>PASS</x:v>
      </x:c>
      <x:c r="E18" s="22" t="str">
        <x:v>en-US + es-MX</x:v>
      </x:c>
      <x:c r="F18" s="22" t="str">
        <x:v>listing + video + social</x:v>
      </x:c>
    </x:row>
    <x:row r="19">
      <x:c r="A19" s="22" t="str">
        <x:v>MV-CREAM-001</x:v>
      </x:c>
      <x:c r="B19" s="53" t="n">
        <x:f>COUNTIF('Blind Review'!$D$4:$D$63,A19)</x:f>
        <x:v>12</x:v>
      </x:c>
      <x:c r="C19" s="53" t="n">
        <x:v>12</x:v>
      </x:c>
      <x:c r="D19" s="53" t="str">
        <x:f>IF(B19=C19,"PASS","CHECK")</x:f>
        <x:v>PASS</x:v>
      </x:c>
      <x:c r="E19" s="22" t="str">
        <x:v>en-US + es-MX</x:v>
      </x:c>
      <x:c r="F19" s="22" t="str">
        <x:v>listing + video + social</x:v>
      </x:c>
    </x:row>
    <x:row r="20">
      <x:c r="A20" s="22" t="str">
        <x:v>MV-HAND-001</x:v>
      </x:c>
      <x:c r="B20" s="53" t="n">
        <x:f>COUNTIF('Blind Review'!$D$4:$D$63,A20)</x:f>
        <x:v>12</x:v>
      </x:c>
      <x:c r="C20" s="53" t="n">
        <x:v>12</x:v>
      </x:c>
      <x:c r="D20" s="53" t="str">
        <x:f>IF(B20=C20,"PASS","CHECK")</x:f>
        <x:v>PASS</x:v>
      </x:c>
      <x:c r="E20" s="22" t="str">
        <x:v>en-US + es-MX</x:v>
      </x:c>
      <x:c r="F20" s="22" t="str">
        <x:v>listing + video + social</x:v>
      </x:c>
    </x:row>
    <x:row r="21">
      <x:c r="A21" s="22" t="str">
        <x:v>MV-KIT-001</x:v>
      </x:c>
      <x:c r="B21" s="53" t="n">
        <x:f>COUNTIF('Blind Review'!$D$4:$D$63,A21)</x:f>
        <x:v>12</x:v>
      </x:c>
      <x:c r="C21" s="53" t="n">
        <x:v>12</x:v>
      </x:c>
      <x:c r="D21" s="53" t="str">
        <x:f>IF(B21=C21,"PASS","CHECK")</x:f>
        <x:v>PASS</x:v>
      </x:c>
      <x:c r="E21" s="22" t="str">
        <x:v>en-US + es-MX</x:v>
      </x:c>
      <x:c r="F21" s="22" t="str">
        <x:v>listing + video + social</x:v>
      </x:c>
    </x:row>
    <x:row r="24">
      <x:c r="A24" s="16" t="str">
        <x:v>Human Completion Check</x:v>
      </x:c>
      <x:c r="B24" s="45" t="str">
        <x:v>Actual</x:v>
      </x:c>
      <x:c r="C24" s="45" t="str">
        <x:v>Expected</x:v>
      </x:c>
      <x:c r="D24" s="45" t="str">
        <x:v>Status</x:v>
      </x:c>
      <x:c r="E24" s="45" t="str">
        <x:v>Meaning</x:v>
      </x:c>
      <x:c r="F24" s="17" t="str">
        <x:v>Next Action</x:v>
      </x:c>
    </x:row>
    <x:row r="25">
      <x:c r="A25" s="22" t="str">
        <x:v>Completed candidates</x:v>
      </x:c>
      <x:c r="B25" s="53" t="n">
        <x:f>COUNTIF('Blind Review'!$Y$4:$Y$63,"Reviewed")+COUNTIF('Blind Review'!$Y$4:$Y$63,"Failure")</x:f>
        <x:v>0</x:v>
      </x:c>
      <x:c r="C25" s="53" t="n">
        <x:v>60</x:v>
      </x:c>
      <x:c r="D25" s="53" t="str">
        <x:f>IF(B25&gt;=C25,"PASS","PENDING")</x:f>
        <x:v>PENDING</x:v>
      </x:c>
      <x:c r="E25" s="22" t="str">
        <x:v>All candidate rows scored</x:v>
      </x:c>
      <x:c r="F25" s="22" t="str">
        <x:v>Continue blind review</x:v>
      </x:c>
    </x:row>
    <x:row r="26">
      <x:c r="A26" s="22" t="str">
        <x:v>Completed pairs</x:v>
      </x:c>
      <x:c r="B26" s="53" t="n">
        <x:f>COUNTIF('Pair Progress'!$R$4:$R$33,"Complete")</x:f>
        <x:v>0</x:v>
      </x:c>
      <x:c r="C26" s="53" t="n">
        <x:v>30</x:v>
      </x:c>
      <x:c r="D26" s="53" t="str">
        <x:f>IF(B26&gt;=C26,"PASS","PENDING")</x:f>
        <x:v>PENDING</x:v>
      </x:c>
      <x:c r="E26" s="22" t="str">
        <x:v>Both candidates scored in every group</x:v>
      </x:c>
      <x:c r="F26" s="22" t="str">
        <x:v>Continue blind review</x:v>
      </x:c>
    </x:row>
    <x:row r="27">
      <x:c r="A27" s="22" t="str">
        <x:v>Failure cases available</x:v>
      </x:c>
      <x:c r="B27" s="53" t="n">
        <x:f>COUNTIF('Blind Review'!$Y$4:$Y$63,"Failure")</x:f>
        <x:v>0</x:v>
      </x:c>
      <x:c r="C27" s="53" t="n">
        <x:v>5</x:v>
      </x:c>
      <x:c r="D27" s="53" t="str">
        <x:f>IF(B27&gt;=C27,"PASS","PENDING")</x:f>
        <x:v>PENDING</x:v>
      </x:c>
      <x:c r="E27" s="22" t="str">
        <x:v>At least 5 actual failures required</x:v>
      </x:c>
      <x:c r="F27" s="22" t="str">
        <x:v>Score first; do not invent failures</x:v>
      </x:c>
    </x:row>
  </x:sheetData>
  <x:mergeCells>
    <x:mergeCell ref="A1:F1"/>
    <x:mergeCell ref="A2:F2"/>
  </x:mergeCells>
  <x:conditionalFormatting sqref="E5:E13">
    <x:cfRule type="containsText" dxfId="7" priority="1" operator="containsText" text="PASS"/>
  </x:conditionalFormatting>
  <x:conditionalFormatting sqref="D17:D21">
    <x:cfRule type="containsText" dxfId="8" priority="2" operator="containsText" text="PASS"/>
  </x:conditionalFormatting>
  <x:conditionalFormatting sqref="D25:D27">
    <x:cfRule type="containsText" dxfId="9" priority="3" operator="containsText" text="PASS"/>
    <x:cfRule type="containsText" dxfId="10" priority="4" operator="containsText" text="PENDING"/>
  </x:conditionalFormatting>
  <x:pageMargins left="0.7" right="0.7" top="0.75" bottom="0.75" header="0.3" footer="0.3"/>
</x:worksheet>
</file>