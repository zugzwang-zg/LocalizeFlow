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db29baec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d4b9a4cf314613"/>
    <x:sheet xmlns:r="http://schemas.openxmlformats.org/officeDocument/2006/relationships" name="Evaluation Records" sheetId="2" r:id="R146ae6a20b44490d"/>
    <x:sheet xmlns:r="http://schemas.openxmlformats.org/officeDocument/2006/relationships" name="System Timing" sheetId="3" r:id="R35c3d8054dc34a5b"/>
    <x:sheet xmlns:r="http://schemas.openxmlformats.org/officeDocument/2006/relationships" name="Manual Timing" sheetId="4" r:id="R4de802bef0794af5"/>
    <x:sheet xmlns:r="http://schemas.openxmlformats.org/officeDocument/2006/relationships" name="Metric Definitions" sheetId="5" r:id="R4cbcea37c574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yyyy-mm-dd hh:mm:ss.000"/>
    <x:numFmt numFmtId="202" formatCode="¥0.00"/>
    <x:numFmt numFmtId="203" formatCode="yyyy-mm-dd hh:mm:ss"/>
    <x:numFmt numFmtId="204" formatCode="0.0"/>
    <x:numFmt numFmtId="205" formatCode="0.0%"/>
    <x:numFmt numFmtId="206" formatCode="0.00"/>
  </x:numFmts>
  <x:fonts count="11">
    <x:font>
      <x:sz val="11"/>
      <x:name val="Carlito"/>
    </x:font>
    <x:font>
      <x:b/>
      <x:sz val="20"/>
      <x:color rgb="FFFFFFFF"/>
      <x:name val="Carlito"/>
    </x:font>
    <x:font>
      <x:b/>
      <x:sz val="10"/>
      <x:color rgb="FF76520B"/>
      <x:name val="Carlito"/>
    </x:font>
    <x:font>
      <x:b/>
      <x:sz val="10"/>
      <x:color rgb="FFFFFFFF"/>
      <x:name val="Carlito"/>
    </x:font>
    <x:font>
      <x:sz val="9"/>
      <x:color rgb="FF0A302B"/>
      <x:name val="Carlito"/>
    </x:font>
    <x:font>
      <x:sz val="10"/>
      <x:color rgb="FF0A302B"/>
      <x:name val="Carlito"/>
    </x:font>
    <x:font>
      <x:i/>
      <x:sz val="10"/>
      <x:color rgb="FF66756F"/>
      <x:name val="Carlito"/>
    </x:font>
    <x:font>
      <x:b/>
      <x:sz val="10"/>
      <x:color rgb="FF66756F"/>
      <x:name val="Carlito"/>
    </x:font>
    <x:font>
      <x:b/>
      <x:sz val="20"/>
      <x:color rgb="FF123C35"/>
      <x:name val="Carlito"/>
    </x:font>
    <x:font>
      <x:i/>
      <x:sz val="9"/>
      <x:color rgb="FF76520B"/>
      <x:name val="Carlito"/>
    </x:font>
    <x:font>
      <x:b/>
      <x:sz val="10"/>
      <x:color rgb="FF8F261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FFF1C7"/>
      </x:patternFill>
    </x:fill>
    <x:fill>
      <x:patternFill patternType="solid">
        <x:fgColor rgb="FF0A302B"/>
      </x:patternFill>
    </x:fill>
    <x:fill>
      <x:patternFill patternType="solid">
        <x:fgColor rgb="FFF7F3E8"/>
      </x:patternFill>
    </x:fill>
    <x:fill>
      <x:patternFill patternType="solid">
        <x:fgColor rgb="FFDCEFE5"/>
      </x:patternFill>
    </x:fill>
    <x:fill>
      <x:patternFill patternType="solid">
        <x:fgColor rgb="FFF8D8D3"/>
      </x:patternFill>
    </x:fill>
    <x:fill>
      <x:patternFill patternType="solid">
        <x:fgColor rgb="FFF8D8D3"/>
      </x:patternFill>
    </x:fill>
    <x:fill>
      <x:patternFill patternType="solid">
        <x:fgColor rgb="FFFFF1C7"/>
      </x:patternFill>
    </x:fill>
  </x:fills>
  <x:borders count="21">
    <x:border/>
    <x:border>
      <x:right style="thin">
        <x:color rgb="FF3E655E"/>
      </x:right>
    </x:border>
    <x:border>
      <x:left style="thin">
        <x:color rgb="FF3E655E"/>
      </x:left>
      <x:right style="thin">
        <x:color rgb="FF3E655E"/>
      </x:right>
    </x:border>
    <x:border>
      <x:left style="thin">
        <x:color rgb="FF3E655E"/>
      </x:left>
    </x:border>
    <x:border>
      <x:bottom style="thin">
        <x:color rgb="FFDCE4DF"/>
      </x:bottom>
    </x:border>
    <x:border>
      <x:top style="thin">
        <x:color rgb="FFDCE4DF"/>
      </x:top>
      <x:bottom style="thin">
        <x:color rgb="FFDCE4DF"/>
      </x:bottom>
    </x:border>
    <x:border>
      <x:top style="thin">
        <x:color rgb="FFDCE4DF"/>
      </x:top>
    </x:border>
    <x:border>
      <x:left style="thin">
        <x:color rgb="FFC8D4CD"/>
      </x:left>
      <x:top style="thin">
        <x:color rgb="FFC8D4CD"/>
      </x:top>
    </x:border>
    <x:border>
      <x:top style="thin">
        <x:color rgb="FFC8D4CD"/>
      </x:top>
    </x:border>
    <x:border>
      <x:right style="thin">
        <x:color rgb="FFC8D4CD"/>
      </x:right>
      <x:top style="thin">
        <x:color rgb="FFC8D4CD"/>
      </x:top>
    </x:border>
    <x:border>
      <x:left style="thin">
        <x:color rgb="FFC8D4CD"/>
      </x:left>
    </x:border>
    <x:border>
      <x:right style="thin">
        <x:color rgb="FFC8D4CD"/>
      </x:right>
    </x:border>
    <x:border>
      <x:left style="thin">
        <x:color rgb="FFC8D4CD"/>
      </x:left>
      <x:bottom style="thin">
        <x:color rgb="FFC8D4CD"/>
      </x:bottom>
    </x:border>
    <x:border>
      <x:bottom style="thin">
        <x:color rgb="FFC8D4CD"/>
      </x:bottom>
    </x:border>
    <x:border>
      <x:right style="thin">
        <x:color rgb="FFC8D4CD"/>
      </x:right>
      <x:bottom style="thin">
        <x:color rgb="FFC8D4CD"/>
      </x:bottom>
    </x:border>
    <x:border>
      <x:left style="thin">
        <x:color rgb="FFC8D4CD"/>
      </x:left>
      <x:right style="thin">
        <x:color rgb="FF3E655E"/>
      </x:right>
      <x:top style="thin">
        <x:color rgb="FFC8D4CD"/>
      </x:top>
    </x:border>
    <x:border>
      <x:left style="thin">
        <x:color rgb="FF3E655E"/>
      </x:left>
      <x:right style="thin">
        <x:color rgb="FF3E655E"/>
      </x:right>
      <x:top style="thin">
        <x:color rgb="FFC8D4CD"/>
      </x:top>
    </x:border>
    <x:border>
      <x:left style="thin">
        <x:color rgb="FF3E655E"/>
      </x:left>
      <x:right style="thin">
        <x:color rgb="FFC8D4CD"/>
      </x:right>
      <x:top style="thin">
        <x:color rgb="FFC8D4CD"/>
      </x:top>
    </x:border>
    <x:border>
      <x:left style="thin">
        <x:color rgb="FFD85C50"/>
      </x:left>
      <x:top style="thin">
        <x:color rgb="FFD85C50"/>
      </x:top>
      <x:bottom style="thin">
        <x:color rgb="FFD85C50"/>
      </x:bottom>
    </x:border>
    <x:border>
      <x:top style="thin">
        <x:color rgb="FFD85C50"/>
      </x:top>
      <x:bottom style="thin">
        <x:color rgb="FFD85C50"/>
      </x:bottom>
    </x:border>
    <x:border>
      <x:right style="thin">
        <x:color rgb="FFD85C50"/>
      </x:right>
      <x:top style="thin">
        <x:color rgb="FFD85C50"/>
      </x:top>
      <x:bottom style="thin">
        <x:color rgb="FFD85C50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4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2" fontId="4" fillId="0" borderId="4" xfId="0" applyNumberFormat="1" applyFont="1" applyFill="1" applyBorder="1"/>
    <x:xf numFmtId="202" fontId="4" fillId="0" borderId="5" xfId="0" applyNumberFormat="1" applyFont="1" applyFill="1" applyBorder="1"/>
    <x:xf numFmtId="202" fontId="4" fillId="0" borderId="6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3" borderId="0" xfId="0" applyNumberFormat="1" applyFont="1" applyFill="1" applyBorder="1"/>
    <x:xf numFmtId="0" fontId="5" fillId="0" borderId="0" xfId="0" applyNumberFormat="1" applyFont="1" applyFill="1" applyBorder="1"/>
    <x:xf numFmtId="203" fontId="5" fillId="3" borderId="0" xfId="0" applyNumberFormat="1" applyFont="1" applyFill="1" applyBorder="1"/>
    <x:xf numFmtId="204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4" xfId="0" applyNumberFormat="1" applyFont="1" applyFill="1" applyBorder="1"/>
    <x:xf numFmtId="203" fontId="5" fillId="3" borderId="4" xfId="0" applyNumberFormat="1" applyFont="1" applyFill="1" applyBorder="1"/>
    <x:xf numFmtId="204" fontId="5" fillId="0" borderId="4" xfId="0" applyNumberFormat="1" applyFont="1" applyFill="1" applyBorder="1"/>
    <x:xf numFmtId="0" fontId="5" fillId="3" borderId="4" xfId="0" applyNumberFormat="1" applyFont="1" applyFill="1" applyBorder="1"/>
    <x:xf numFmtId="0" fontId="5" fillId="0" borderId="5" xfId="0" applyNumberFormat="1" applyFont="1" applyFill="1" applyBorder="1"/>
    <x:xf numFmtId="203" fontId="5" fillId="3" borderId="5" xfId="0" applyNumberFormat="1" applyFont="1" applyFill="1" applyBorder="1"/>
    <x:xf numFmtId="204" fontId="5" fillId="0" borderId="5" xfId="0" applyNumberFormat="1" applyFont="1" applyFill="1" applyBorder="1"/>
    <x:xf numFmtId="0" fontId="5" fillId="3" borderId="5" xfId="0" applyNumberFormat="1" applyFont="1" applyFill="1" applyBorder="1"/>
    <x:xf numFmtId="0" fontId="5" fillId="0" borderId="6" xfId="0" applyNumberFormat="1" applyFont="1" applyFill="1" applyBorder="1"/>
    <x:xf numFmtId="203" fontId="5" fillId="3" borderId="6" xfId="0" applyNumberFormat="1" applyFont="1" applyFill="1" applyBorder="1"/>
    <x:xf numFmtId="204" fontId="5" fillId="0" borderId="6" xfId="0" applyNumberFormat="1" applyFont="1" applyFill="1" applyBorder="1"/>
    <x:xf numFmtId="0" fontId="5" fillId="3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203" fontId="5" fillId="3" borderId="4" xfId="0" applyNumberFormat="1" applyFont="1" applyFill="1" applyBorder="1" applyAlignment="1">
      <x:alignment wrapText="1"/>
    </x:xf>
    <x:xf numFmtId="204" fontId="5" fillId="0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203" fontId="5" fillId="3" borderId="5" xfId="0" applyNumberFormat="1" applyFont="1" applyFill="1" applyBorder="1" applyAlignment="1">
      <x:alignment wrapText="1"/>
    </x:xf>
    <x:xf numFmtId="204" fontId="5" fillId="0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3" fontId="5" fillId="3" borderId="6" xfId="0" applyNumberFormat="1" applyFont="1" applyFill="1" applyBorder="1" applyAlignment="1">
      <x:alignment wrapText="1"/>
    </x:xf>
    <x:xf numFmtId="204" fontId="5" fillId="0" borderId="6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203" fontId="5" fillId="3" borderId="4" xfId="0" applyNumberFormat="1" applyFont="1" applyFill="1" applyBorder="1" applyAlignment="1">
      <x:alignment vertical="center" wrapText="1"/>
    </x:xf>
    <x:xf numFmtId="204" fontId="5" fillId="0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3" fontId="5" fillId="3" borderId="5" xfId="0" applyNumberFormat="1" applyFont="1" applyFill="1" applyBorder="1" applyAlignment="1">
      <x:alignment vertical="center" wrapText="1"/>
    </x:xf>
    <x:xf numFmtId="204" fontId="5" fillId="0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3" fontId="5" fillId="3" borderId="6" xfId="0" applyNumberFormat="1" applyFont="1" applyFill="1" applyBorder="1" applyAlignment="1">
      <x:alignment vertical="center" wrapText="1"/>
    </x:xf>
    <x:xf numFmtId="204" fontId="5" fillId="0" borderId="6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7" fillId="3" borderId="7" xfId="0" applyNumberFormat="1" applyFont="1" applyFill="1" applyBorder="1"/>
    <x:xf numFmtId="0" fontId="7" fillId="3" borderId="7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/>
    <x:xf numFmtId="0" fontId="8" fillId="3" borderId="10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/>
    <x:xf numFmtId="0" fontId="8" fillId="6" borderId="10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 vertical="center"/>
    </x:xf>
    <x:xf numFmtId="205" fontId="8" fillId="6" borderId="10" xfId="0" applyNumberFormat="1" applyFont="1" applyFill="1" applyBorder="1" applyAlignment="1">
      <x:alignment horizontal="center" vertical="center"/>
    </x:xf>
    <x:xf numFmtId="202" fontId="8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7" fillId="7" borderId="7" xfId="0" applyNumberFormat="1" applyFont="1" applyFill="1" applyBorder="1"/>
    <x:xf numFmtId="0" fontId="7" fillId="7" borderId="7" xfId="0" applyNumberFormat="1" applyFont="1" applyFill="1" applyBorder="1" applyAlignment="1">
      <x:alignment horizontal="center"/>
    </x:xf>
    <x:xf numFmtId="0" fontId="8" fillId="7" borderId="10" xfId="0" applyNumberFormat="1" applyFont="1" applyFill="1" applyBorder="1"/>
    <x:xf numFmtId="0" fontId="8" fillId="7" borderId="10" xfId="0" applyNumberFormat="1" applyFont="1" applyFill="1" applyBorder="1" applyAlignment="1">
      <x:alignment horizontal="center"/>
    </x:xf>
    <x:xf numFmtId="0" fontId="8" fillId="7" borderId="10" xfId="0" applyNumberFormat="1" applyFont="1" applyFill="1" applyBorder="1" applyAlignment="1">
      <x:alignment horizontal="center" vertical="center"/>
    </x:xf>
    <x:xf numFmtId="205" fontId="8" fillId="7" borderId="10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6" fontId="0" fillId="0" borderId="11" xfId="0" applyNumberFormat="1" applyFont="1" applyFill="1" applyBorder="1"/>
    <x:xf numFmtId="0" fontId="0" fillId="0" borderId="12" xfId="0" applyNumberFormat="1" applyFont="1" applyFill="1" applyBorder="1"/>
    <x:xf numFmtId="206" fontId="0" fillId="0" borderId="13" xfId="0" applyNumberFormat="1" applyFont="1" applyFill="1" applyBorder="1"/>
    <x:xf numFmtId="206" fontId="0" fillId="0" borderId="14" xfId="0" applyNumberFormat="1" applyFont="1" applyFill="1" applyBorder="1"/>
    <x:xf numFmtId="205" fontId="0" fillId="0" borderId="0" xfId="0" applyNumberFormat="1" applyFont="1" applyFill="1" applyBorder="1"/>
    <x:xf numFmtId="205" fontId="0" fillId="0" borderId="11" xfId="0" applyNumberFormat="1" applyFont="1" applyFill="1" applyBorder="1"/>
    <x:xf numFmtId="205" fontId="0" fillId="0" borderId="13" xfId="0" applyNumberFormat="1" applyFont="1" applyFill="1" applyBorder="1"/>
    <x:xf numFmtId="205" fontId="0" fillId="0" borderId="14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202" fontId="0" fillId="0" borderId="13" xfId="0" applyNumberFormat="1" applyFont="1" applyFill="1" applyBorder="1"/>
    <x:xf numFmtId="202" fontId="0" fillId="0" borderId="14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205" fontId="8" fillId="3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8" xfId="0" applyNumberFormat="1" applyFont="1" applyFill="1" applyBorder="1"/>
    <x:xf numFmtId="0" fontId="10" fillId="8" borderId="19" xfId="0" applyNumberFormat="1" applyFont="1" applyFill="1" applyBorder="1"/>
    <x:xf numFmtId="0" fontId="10" fillId="8" borderId="20" xfId="0" applyNumberFormat="1" applyFont="1" applyFill="1" applyBorder="1"/>
    <x:xf numFmtId="0" fontId="10" fillId="8" borderId="18" xfId="0" applyNumberFormat="1" applyFont="1" applyFill="1" applyBorder="1" applyAlignment="1">
      <x:alignment wrapText="1"/>
    </x:xf>
    <x:xf numFmtId="0" fontId="10" fillId="8" borderId="19" xfId="0" applyNumberFormat="1" applyFont="1" applyFill="1" applyBorder="1" applyAlignment="1">
      <x:alignment wrapText="1"/>
    </x:xf>
    <x:xf numFmtId="0" fontId="10" fillId="8" borderId="20" xfId="0" applyNumberFormat="1" applyFont="1" applyFill="1" applyBorder="1" applyAlignment="1">
      <x:alignment wrapText="1"/>
    </x:xf>
    <x:xf numFmtId="0" fontId="10" fillId="8" borderId="18" xfId="0" applyNumberFormat="1" applyFont="1" applyFill="1" applyBorder="1" applyAlignment="1">
      <x:alignment horizontal="center" wrapText="1"/>
    </x:xf>
    <x:xf numFmtId="0" fontId="10" fillId="8" borderId="19" xfId="0" applyNumberFormat="1" applyFont="1" applyFill="1" applyBorder="1" applyAlignment="1">
      <x:alignment horizontal="center" wrapText="1"/>
    </x:xf>
    <x:xf numFmtId="0" fontId="10" fillId="8" borderId="20" xfId="0" applyNumberFormat="1" applyFont="1" applyFill="1" applyBorder="1" applyAlignment="1">
      <x:alignment horizontal="center" wrapText="1"/>
    </x:xf>
    <x:xf numFmtId="0" fontId="10" fillId="8" borderId="18" xfId="0" applyNumberFormat="1" applyFont="1" applyFill="1" applyBorder="1" applyAlignment="1">
      <x:alignment horizontal="center" vertical="center" wrapText="1"/>
    </x:xf>
    <x:xf numFmtId="0" fontId="10" fillId="8" borderId="19" xfId="0" applyNumberFormat="1" applyFont="1" applyFill="1" applyBorder="1" applyAlignment="1">
      <x:alignment horizontal="center" vertical="center" wrapText="1"/>
    </x:xf>
    <x:xf numFmtId="0" fontId="10" fillId="8" borderId="20" xfId="0" applyNumberFormat="1" applyFont="1" applyFill="1" applyBorder="1" applyAlignment="1">
      <x:alignment horizontal="center" vertical="center" wrapText="1"/>
    </x:xf>
    <x:xf numFmtId="203" fontId="5" fillId="9" borderId="4" xfId="0" applyNumberFormat="1" applyFont="1" applyFill="1" applyBorder="1" applyAlignment="1">
      <x:alignment vertical="center" wrapText="1"/>
    </x:xf>
    <x:xf numFmtId="204" fontId="5" fillId="9" borderId="4" xfId="0" applyNumberFormat="1" applyFont="1" applyFill="1" applyBorder="1" applyAlignment="1">
      <x:alignment vertical="center" wrapText="1"/>
    </x:xf>
    <x:xf numFmtId="203" fontId="5" fillId="9" borderId="5" xfId="0" applyNumberFormat="1" applyFont="1" applyFill="1" applyBorder="1" applyAlignment="1">
      <x:alignment vertical="center" wrapText="1"/>
    </x:xf>
    <x:xf numFmtId="204" fontId="5" fillId="9" borderId="5" xfId="0" applyNumberFormat="1" applyFont="1" applyFill="1" applyBorder="1" applyAlignment="1">
      <x:alignment vertical="center" wrapText="1"/>
    </x:xf>
    <x:xf numFmtId="203" fontId="5" fillId="9" borderId="6" xfId="0" applyNumberFormat="1" applyFont="1" applyFill="1" applyBorder="1" applyAlignment="1">
      <x:alignment vertical="center" wrapText="1"/>
    </x:xf>
    <x:xf numFmtId="204" fontId="5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>
          <x:bgColor rgb="FFDCEFE5"/>
        </x:patternFill>
      </x:fill>
    </x:dxf>
    <x:dxf>
      <x:font>
        <x:b/>
        <x:color rgb="FF8F261E"/>
      </x:font>
      <x:fill>
        <x:patternFill>
          <x:bgColor rgb="FFF8D8D3"/>
        </x:patternFill>
      </x:fill>
    </x:dxf>
    <x:dxf>
      <x:font>
        <x:b/>
        <x:color rgb="FF8F261E"/>
      </x:font>
      <x:fill>
        <x:patternFill>
          <x:bgColor rgb="FFF8D8D3"/>
        </x:patternFill>
      </x:fill>
    </x:dxf>
    <x:dxf>
      <x:font>
        <x:b/>
        <x:color rgb="FF123C35"/>
      </x:font>
      <x:fill>
        <x:patternFill>
          <x:bgColor rgb="FFBFE2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9bdd342824f7a" /><Relationship Type="http://schemas.openxmlformats.org/officeDocument/2006/relationships/theme" Target="/xl/theme/theme1.xml" Id="R7ab3eb9fbfa240ad" /><Relationship Type="http://schemas.openxmlformats.org/officeDocument/2006/relationships/sharedStrings" Target="/xl/sharedStrings.xml" Id="R2ab6e55c4bba4607" /><Relationship Type="http://schemas.openxmlformats.org/officeDocument/2006/relationships/worksheet" Target="/xl/worksheets/sheet1.xml" Id="Rf0d4b9a4cf314613" /><Relationship Type="http://schemas.openxmlformats.org/officeDocument/2006/relationships/worksheet" Target="/xl/worksheets/sheet2.xml" Id="R146ae6a20b44490d" /><Relationship Type="http://schemas.openxmlformats.org/officeDocument/2006/relationships/worksheet" Target="/xl/worksheets/sheet3.xml" Id="R35c3d8054dc34a5b" /><Relationship Type="http://schemas.openxmlformats.org/officeDocument/2006/relationships/worksheet" Target="/xl/worksheets/sheet4.xml" Id="R4de802bef0794af5" /><Relationship Type="http://schemas.openxmlformats.org/officeDocument/2006/relationships/worksheet" Target="/xl/worksheets/sheet5.xml" Id="R4cbcea37c5744a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363379a17b438f" /><Relationship Type="http://schemas.openxmlformats.org/officeDocument/2006/relationships/chart" Target="/xl/drawings/charts/chart2.xml" Id="Rdb037919b7a14d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复核效率：时间与修改次数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'Dashboard'!$B$17:$B$18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LocalizeFlow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'Dashboard'!$C$17:$C$18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质量通过率：Baseline vs LocalizeFlow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</c:v>
          </c:tx>
          <c:cat>
            <c:strRef>
              <c:f>'Dashboard'!$A$22:$A$25</c:f>
              <c:strCache>
                <c:ptCount val="0"/>
              </c:strCache>
            </c:strRef>
          </c:cat>
          <c:val>
            <c:numRef>
              <c:f>'Dashboard'!$B$22:$B$25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LocalizeFlow</c:v>
          </c:tx>
          <c:cat>
            <c:strRef>
              <c:f>'Dashboard'!$A$22:$A$25</c:f>
              <c:strCache>
                <c:ptCount val="0"/>
              </c:strCache>
            </c:strRef>
          </c:cat>
          <c:val>
            <c:numRef>
              <c:f>'Dashboard'!$C$22:$C$25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363379a17b438f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37919b7a14d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sinessValueEvaluationRecords" displayName="BusinessValueEvaluationRecords" ref="A4:T16" headerRowCount="1" totalsRowCount="0" totalsRowShown="0">
  <x:tableColumns count="20">
    <x:tableColumn id="1" name="Group ID"/>
    <x:tableColumn id="2" name="Candidate ID"/>
    <x:tableColumn id="3" name="SKU"/>
    <x:tableColumn id="4" name="Market"/>
    <x:tableColumn id="5" name="Language"/>
    <x:tableColumn id="6" name="Content Type"/>
    <x:tableColumn id="7" name="Version"/>
    <x:tableColumn id="8" name="Fact Accuracy"/>
    <x:tableColumn id="9" name="Fact Error"/>
    <x:tableColumn id="10" name="Platform Fit (1–5)"/>
    <x:tableColumn id="11" name="Language Naturalness (1–5)"/>
    <x:tableColumn id="12" name="Publishability (1–5)"/>
    <x:tableColumn id="13" name="Modification Count"/>
    <x:tableColumn id="14" name="Review Minutes"/>
    <x:tableColumn id="15" name="Failure Tags"/>
    <x:tableColumn id="16" name="Auto Platform Pass"/>
    <x:tableColumn id="17" name="Auto Terminology Pass"/>
    <x:tableColumn id="18" name="Terminology Detail"/>
    <x:tableColumn id="19" name="One-pass Usable"/>
    <x:tableColumn id="2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ValueSystemTiming" displayName="BusinessValueSystemTiming" ref="A4:L64" headerRowCount="1" totalsRowCount="0" totalsRowShown="0">
  <x:tableColumns count="12">
    <x:tableColumn id="1" name="Trial"/>
    <x:tableColumn id="2" name="Started at UTC"/>
    <x:tableColumn id="3" name="SKU"/>
    <x:tableColumn id="4" name="Market"/>
    <x:tableColumn id="5" name="Language"/>
    <x:tableColumn id="6" name="Output Count"/>
    <x:tableColumn id="7" name="Content Types"/>
    <x:tableColumn id="8" name="Elapsed (ms)"/>
    <x:tableColumn id="9" name="Model API Calls"/>
    <x:tableColumn id="10" name="API Cost (CNY)"/>
    <x:tableColumn id="11" name="Generation Mode"/>
    <x:tableColumn id="12" name="Paired Full Scope (m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ValueMetricDefinitions" displayName="BusinessValueMetricDefinitions" ref="A4:F12" headerRowCount="1" totalsRowCount="0" totalsRowShown="0">
  <x:tableColumns count="6">
    <x:tableColumn id="1" name="Metric"/>
    <x:tableColumn id="2" name="Operational Definition"/>
    <x:tableColumn id="3" name="Unit"/>
    <x:tableColumn id="4" name="Primary Source"/>
    <x:tableColumn id="5" name="Sample"/>
    <x:tableColumn id="6" name="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aeb1a978f745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892efb8f90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9b0b0bdb93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c44aed508e94a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6" customHeight="1">
      <x:c r="A1" s="4" t="str">
        <x:v>LocalizeFlow｜业务价值测算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8" t="str">
        <x:v>当前结论：质量与复核效率来自实际记录；完整生产时间节省率采用 AI 情景估算，非真实人工计时，不可作为正式效率基准。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2" customHeight="1"/>
    <x:row r="5" ht="24" customHeight="1">
      <x:c r="A5" s="100" t="str">
        <x:v>完整生产时间节省率（AI估算）</x:v>
      </x:c>
      <x:c r="B5" s="92"/>
      <x:c r="C5" s="93"/>
      <x:c r="D5" s="114" t="str">
        <x:v>复核时间降幅</x:v>
      </x:c>
      <x:c r="E5" s="106"/>
      <x:c r="F5" s="107"/>
      <x:c r="G5" s="114" t="str">
        <x:v>平均修改次数降幅</x:v>
      </x:c>
      <x:c r="H5" s="106"/>
      <x:c r="I5" s="107"/>
      <x:c r="J5" s="114" t="str">
        <x:v>单 SKU 模型 API 成本</x:v>
      </x:c>
      <x:c r="K5" s="106"/>
      <x:c r="L5" s="107"/>
    </x:row>
    <x:row r="6" ht="26" customHeight="1">
      <x:c r="A6" s="185" t="n">
        <x:f>IF(COUNT('Manual Timing'!$G$5:$G$10)&lt;6,"待人工计时",1-((SUMIFS('Evaluation Records'!$N$5:$N$16,'Evaluation Records'!$G$5:$G$16,"localizeflow")+MEDIAN('System Timing'!$L$5:$L$64)/60000)/SUM('Manual Timing'!$G$5:$G$10)))</x:f>
        <x:v>0.8435753386080075</x:v>
      </x:c>
      <x:c r="B6" s="5"/>
      <x:c r="C6" s="95"/>
      <x:c r="D6" s="118" t="n">
        <x:f>1-AVERAGEIF('Evaluation Records'!$G$5:$G$16,"localizeflow",'Evaluation Records'!$N$5:$N$16)/AVERAGEIF('Evaluation Records'!$G$5:$G$16,"baseline",'Evaluation Records'!$N$5:$N$16)</x:f>
        <x:v>0.19999999999999996</x:v>
      </x:c>
      <x:c r="E6" s="104"/>
      <x:c r="F6" s="109"/>
      <x:c r="G6" s="118" t="n">
        <x:f>1-AVERAGEIF('Evaluation Records'!$G$5:$G$16,"localizeflow",'Evaluation Records'!$M$5:$M$16)/AVERAGEIF('Evaluation Records'!$G$5:$G$16,"baseline",'Evaluation Records'!$M$5:$M$16)</x:f>
        <x:v>0.55</x:v>
      </x:c>
      <x:c r="H6" s="104"/>
      <x:c r="I6" s="109"/>
      <x:c r="J6" s="119" t="n">
        <x:f>SUM('System Timing'!$J$5:$J$64)</x:f>
        <x:v>0</x:v>
      </x:c>
      <x:c r="K6" s="104"/>
      <x:c r="L6" s="109"/>
    </x:row>
    <x:row r="7" ht="26" customHeight="1">
      <x:c r="A7" s="94"/>
      <x:c r="B7" s="5"/>
      <x:c r="C7" s="95"/>
      <x:c r="D7" s="108"/>
      <x:c r="E7" s="104"/>
      <x:c r="F7" s="109"/>
      <x:c r="G7" s="108"/>
      <x:c r="H7" s="104"/>
      <x:c r="I7" s="109"/>
      <x:c r="J7" s="108"/>
      <x:c r="K7" s="104"/>
      <x:c r="L7" s="109"/>
    </x:row>
    <x:row r="8" ht="26" customHeight="1">
      <x:c r="A8" s="96"/>
      <x:c r="B8" s="97"/>
      <x:c r="C8" s="98"/>
      <x:c r="D8" s="110"/>
      <x:c r="E8" s="111"/>
      <x:c r="F8" s="112"/>
      <x:c r="G8" s="110"/>
      <x:c r="H8" s="111"/>
      <x:c r="I8" s="112"/>
      <x:c r="J8" s="110"/>
      <x:c r="K8" s="111"/>
      <x:c r="L8" s="112"/>
    </x:row>
    <x:row r="9" ht="22" customHeight="1"/>
    <x:row r="10" ht="24" customHeight="1">
      <x:c r="A10" s="114" t="str">
        <x:v>一次生成可用率 · LocalizeFlow</x:v>
      </x:c>
      <x:c r="B10" s="106"/>
      <x:c r="C10" s="107"/>
      <x:c r="D10" s="130" t="str">
        <x:v>事实错误率 · LocalizeFlow</x:v>
      </x:c>
      <x:c r="E10" s="122"/>
      <x:c r="F10" s="123"/>
      <x:c r="G10" s="114" t="str">
        <x:v>平台规则通过率 · LocalizeFlow</x:v>
      </x:c>
      <x:c r="H10" s="106"/>
      <x:c r="I10" s="107"/>
      <x:c r="J10" s="114" t="str">
        <x:v>术语一致率 · LocalizeFlow</x:v>
      </x:c>
      <x:c r="K10" s="106"/>
      <x:c r="L10" s="107"/>
    </x:row>
    <x:row r="11" ht="26" customHeight="1">
      <x:c r="A11" s="118" t="n">
        <x:f>COUNTIFS('Evaluation Records'!$G$5:$G$16,"localizeflow",'Evaluation Records'!$S$5:$S$16,"Pass")/COUNTIF('Evaluation Records'!$G$5:$G$16,"localizeflow")</x:f>
        <x:v>0.6666666666666666</x:v>
      </x:c>
      <x:c r="B11" s="104"/>
      <x:c r="C11" s="109"/>
      <x:c r="D11" s="134" t="n">
        <x:f>COUNTIFS('Evaluation Records'!$G$5:$G$16,"localizeflow",'Evaluation Records'!$H$5:$H$16,"Fail")/COUNTIF('Evaluation Records'!$G$5:$G$16,"localizeflow")</x:f>
        <x:v>0.3333333333333333</x:v>
      </x:c>
      <x:c r="E11" s="120"/>
      <x:c r="F11" s="125"/>
      <x:c r="G11" s="118" t="n">
        <x:f>COUNTIFS('Evaluation Records'!$G$5:$G$16,"localizeflow",'Evaluation Records'!$P$5:$P$16,"Pass")/COUNTIF('Evaluation Records'!$G$5:$G$16,"localizeflow")</x:f>
        <x:v>1</x:v>
      </x:c>
      <x:c r="H11" s="104"/>
      <x:c r="I11" s="109"/>
      <x:c r="J11" s="118" t="n">
        <x:f>COUNTIFS('Evaluation Records'!$G$5:$G$16,"localizeflow",'Evaluation Records'!$Q$5:$Q$16,"Pass")/COUNTIF('Evaluation Records'!$G$5:$G$16,"localizeflow")</x:f>
        <x:v>0.8333333333333334</x:v>
      </x:c>
      <x:c r="K11" s="104"/>
      <x:c r="L11" s="109"/>
    </x:row>
    <x:row r="12" ht="26" customHeight="1">
      <x:c r="A12" s="108"/>
      <x:c r="B12" s="104"/>
      <x:c r="C12" s="109"/>
      <x:c r="D12" s="124"/>
      <x:c r="E12" s="120"/>
      <x:c r="F12" s="125"/>
      <x:c r="G12" s="108"/>
      <x:c r="H12" s="104"/>
      <x:c r="I12" s="109"/>
      <x:c r="J12" s="108"/>
      <x:c r="K12" s="104"/>
      <x:c r="L12" s="109"/>
    </x:row>
    <x:row r="13" ht="26" customHeight="1">
      <x:c r="A13" s="110"/>
      <x:c r="B13" s="111"/>
      <x:c r="C13" s="112"/>
      <x:c r="D13" s="126"/>
      <x:c r="E13" s="127"/>
      <x:c r="F13" s="128"/>
      <x:c r="G13" s="110"/>
      <x:c r="H13" s="111"/>
      <x:c r="I13" s="112"/>
      <x:c r="J13" s="110"/>
      <x:c r="K13" s="111"/>
      <x:c r="L13" s="112"/>
    </x:row>
    <x:row r="14" ht="28" customHeight="1">
      <x:c r="A14" s="197" t="str">
        <x:v>证据等级：盲评质量与复核时间＝实际记录｜系统运行时间＝本机实测｜完整生产时间与 84.4% 节省率＝AI 情景估算</x:v>
      </x:c>
      <x:c r="B14" s="198"/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9"/>
    </x:row>
    <x:row r="15" ht="22" customHeight="1"/>
    <x:row r="16" ht="22" customHeight="1">
      <x:c r="A16" s="136" t="str">
        <x:v>效率指标</x:v>
      </x:c>
      <x:c r="B16" s="137" t="str">
        <x:v>Baseline</x:v>
      </x:c>
      <x:c r="C16" s="138" t="str">
        <x:v>LocalizeFlow</x:v>
      </x:c>
    </x:row>
    <x:row r="17" ht="22" customHeight="1">
      <x:c r="A17" s="139" t="str">
        <x:v>平均复核分钟</x:v>
      </x:c>
      <x:c r="B17" s="135" t="n">
        <x:f>AVERAGEIF('Evaluation Records'!$G$5:$G$16,"baseline",'Evaluation Records'!$N$5:$N$16)</x:f>
        <x:v>5.833333333333333</x:v>
      </x:c>
      <x:c r="C17" s="140" t="n">
        <x:f>AVERAGEIF('Evaluation Records'!$G$5:$G$16,"localizeflow",'Evaluation Records'!$N$5:$N$16)</x:f>
        <x:v>4.666666666666667</x:v>
      </x:c>
    </x:row>
    <x:row r="18" ht="22" customHeight="1">
      <x:c r="A18" s="141" t="str">
        <x:v>平均修改次数</x:v>
      </x:c>
      <x:c r="B18" s="142" t="n">
        <x:f>AVERAGEIF('Evaluation Records'!$G$5:$G$16,"baseline",'Evaluation Records'!$M$5:$M$16)</x:f>
        <x:v>3.3333333333333335</x:v>
      </x:c>
      <x:c r="C18" s="143" t="n">
        <x:f>AVERAGEIF('Evaluation Records'!$G$5:$G$16,"localizeflow",'Evaluation Records'!$M$5:$M$16)</x:f>
        <x:v>1.5</x:v>
      </x:c>
    </x:row>
    <x:row r="19" ht="22" customHeight="1"/>
    <x:row r="20" ht="22" customHeight="1"/>
    <x:row r="21" ht="22" customHeight="1">
      <x:c r="A21" s="136" t="str">
        <x:v>质量指标</x:v>
      </x:c>
      <x:c r="B21" s="137" t="str">
        <x:v>Baseline</x:v>
      </x:c>
      <x:c r="C21" s="138" t="str">
        <x:v>LocalizeFlow</x:v>
      </x:c>
    </x:row>
    <x:row r="22" ht="22" customHeight="1">
      <x:c r="A22" s="139" t="str">
        <x:v>事实通过率</x:v>
      </x:c>
      <x:c r="B22" s="144" t="n">
        <x:f>COUNTIFS('Evaluation Records'!$G$5:$G$16,"baseline",'Evaluation Records'!$H$5:$H$16,"Pass")/COUNTIF('Evaluation Records'!$G$5:$G$16,"baseline")</x:f>
        <x:v>0.6666666666666666</x:v>
      </x:c>
      <x:c r="C22" s="145" t="n">
        <x:f>COUNTIFS('Evaluation Records'!$G$5:$G$16,"localizeflow",'Evaluation Records'!$H$5:$H$16,"Pass")/COUNTIF('Evaluation Records'!$G$5:$G$16,"localizeflow")</x:f>
        <x:v>0.6666666666666666</x:v>
      </x:c>
    </x:row>
    <x:row r="23" ht="22" customHeight="1">
      <x:c r="A23" s="139" t="str">
        <x:v>平台规则通过率</x:v>
      </x:c>
      <x:c r="B23" s="144" t="n">
        <x:f>COUNTIFS('Evaluation Records'!$G$5:$G$16,"baseline",'Evaluation Records'!$P$5:$P$16,"Pass")/COUNTIF('Evaluation Records'!$G$5:$G$16,"baseline")</x:f>
        <x:v>0.5</x:v>
      </x:c>
      <x:c r="C23" s="145" t="n">
        <x:f>COUNTIFS('Evaluation Records'!$G$5:$G$16,"localizeflow",'Evaluation Records'!$P$5:$P$16,"Pass")/COUNTIF('Evaluation Records'!$G$5:$G$16,"localizeflow")</x:f>
        <x:v>1</x:v>
      </x:c>
    </x:row>
    <x:row r="24" ht="22" customHeight="1">
      <x:c r="A24" s="139" t="str">
        <x:v>术语一致率</x:v>
      </x:c>
      <x:c r="B24" s="144" t="n">
        <x:f>COUNTIFS('Evaluation Records'!$G$5:$G$16,"baseline",'Evaluation Records'!$Q$5:$Q$16,"Pass")/COUNTIF('Evaluation Records'!$G$5:$G$16,"baseline")</x:f>
        <x:v>0.6666666666666666</x:v>
      </x:c>
      <x:c r="C24" s="145" t="n">
        <x:f>COUNTIFS('Evaluation Records'!$G$5:$G$16,"localizeflow",'Evaluation Records'!$Q$5:$Q$16,"Pass")/COUNTIF('Evaluation Records'!$G$5:$G$16,"localizeflow")</x:f>
        <x:v>0.8333333333333334</x:v>
      </x:c>
    </x:row>
    <x:row r="25" ht="22" customHeight="1">
      <x:c r="A25" s="141" t="str">
        <x:v>一次生成可用率</x:v>
      </x:c>
      <x:c r="B25" s="146" t="n">
        <x:f>COUNTIFS('Evaluation Records'!$G$5:$G$16,"baseline",'Evaluation Records'!$S$5:$S$16,"Pass")/COUNTIF('Evaluation Records'!$G$5:$G$16,"baseline")</x:f>
        <x:v>0</x:v>
      </x:c>
      <x:c r="C25" s="147" t="n">
        <x:f>COUNTIFS('Evaluation Records'!$G$5:$G$16,"localizeflow",'Evaluation Records'!$S$5:$S$16,"Pass")/COUNTIF('Evaluation Records'!$G$5:$G$16,"localizeflow")</x:f>
        <x:v>0.6666666666666666</x:v>
      </x:c>
    </x:row>
    <x:row r="26" ht="22" customHeight="1"/>
    <x:row r="27" ht="22" customHeight="1"/>
    <x:row r="28" ht="22" customHeight="1">
      <x:c r="A28" s="136" t="str">
        <x:v>系统实测</x:v>
      </x:c>
      <x:c r="B28" s="137" t="str">
        <x:v>US</x:v>
      </x:c>
      <x:c r="C28" s="138" t="str">
        <x:v>MX</x:v>
      </x:c>
    </x:row>
    <x:row r="29" ht="22" customHeight="1">
      <x:c r="A29" s="139" t="str">
        <x:v>单市场中位耗时 (ms)</x:v>
      </x:c>
      <x:c r="B29" s="148" t="n">
        <x:f>MEDIAN('System Timing'!$H$5:$H$34)</x:f>
        <x:v>0.40385000000000004</x:v>
      </x:c>
      <x:c r="C29" s="150" t="n">
        <x:f>MEDIAN('System Timing'!$H$35:$H$64)</x:f>
        <x:v>0.46604999999999996</x:v>
      </x:c>
    </x:row>
    <x:row r="30" ht="22" customHeight="1">
      <x:c r="A30" s="139" t="str">
        <x:v>样本数</x:v>
      </x:c>
      <x:c r="B30" s="151" t="n">
        <x:f>COUNTIF('System Timing'!$D$5:$D$64,"US")</x:f>
        <x:v>30</x:v>
      </x:c>
      <x:c r="C30" s="152" t="n">
        <x:f>COUNTIF('System Timing'!$D$5:$D$64,"MX")</x:f>
        <x:v>30</x:v>
      </x:c>
    </x:row>
    <x:row r="31" ht="22" customHeight="1">
      <x:c r="A31" s="141" t="str">
        <x:v>API 成本 (CNY)</x:v>
      </x:c>
      <x:c r="B31" s="153" t="n">
        <x:f>SUMIF('System Timing'!$D$5:$D$64,"US",'System Timing'!$J$5:$J$64)</x:f>
        <x:v>0</x:v>
      </x:c>
      <x:c r="C31" s="154" t="n">
        <x:f>SUMIF('System Timing'!$D$5:$D$64,"MX",'System Timing'!$J$5:$J$64)</x:f>
        <x:v>0</x:v>
      </x:c>
    </x:row>
    <x:row r="32" ht="22" customHeight="1"/>
    <x:row r="33" ht="22" customHeight="1"/>
    <x:row r="34" ht="26" customHeight="1">
      <x:c r="A34" s="173" t="str">
        <x:v>解读：平台预检 50%→100%，术语 66.7%→83.3%，一次生成可用 0%→66.7%；事实错误率仍为 33.3%。84.4% 仅是基于 179 分钟 AI 估算的情景结果。</x:v>
      </x:c>
      <x:c r="B34" s="174"/>
      <x:c r="C34" s="174"/>
      <x:c r="D34" s="175"/>
    </x:row>
    <x:row r="35" ht="26" customHeight="1">
      <x:c r="A35" s="176"/>
      <x:c r="B35" s="177"/>
      <x:c r="C35" s="177"/>
      <x:c r="D35" s="178"/>
    </x:row>
    <x:row r="36" ht="26" customHeight="1">
      <x:c r="A36" s="179"/>
      <x:c r="B36" s="180"/>
      <x:c r="C36" s="180"/>
      <x:c r="D36" s="181"/>
    </x:row>
    <x:row r="37" ht="22" customHeight="1"/>
    <x:row r="38" ht="22" customHeight="1"/>
    <x:row r="39" ht="24" customHeight="1">
      <x:c r="A39" s="184" t="str">
        <x:v>数据来源：serum_evaluation_records.json；system_timing_benchmark.json；human_evaluation_scored_revealed.xlsx；Manual Timing 为 AI 情景估算。生成于 2026-07-28。</x:v>
      </x:c>
      <x:c r="B39" s="184"/>
      <x:c r="C39" s="184"/>
      <x:c r="D39" s="184"/>
    </x:row>
    <x:row r="40" ht="24" customHeight="1">
      <x:c r="A40" s="184"/>
      <x:c r="B40" s="184"/>
      <x:c r="C40" s="184"/>
      <x:c r="D40" s="184"/>
    </x:row>
    <x:row r="41" ht="24" customHeight="1">
      <x:c r="A41" s="184"/>
      <x:c r="B41" s="184"/>
      <x:c r="C41" s="184"/>
      <x:c r="D41" s="184"/>
    </x:row>
    <x:row r="42" ht="22" customHeight="1"/>
    <x:row r="43" ht="22" customHeight="1"/>
    <x:row r="44" ht="22" customHeight="1"/>
    <x:row r="45" ht="22" customHeight="1"/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34:D36"/>
    <x:mergeCell ref="A39:D41"/>
    <x:mergeCell ref="A14:L14"/>
  </x:mergeCells>
  <x:pageMargins left="0.7" right="0.7" top="0.75" bottom="0.75" header="0.3" footer="0.3"/>
  <x:drawing xmlns:r="http://schemas.openxmlformats.org/officeDocument/2006/relationships" r:id="Rfcaeb1a978f745d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.25" hidden="0" customWidth="1"/>
    <x:col min="4" max="4" width="5.630000114440918" hidden="0" customWidth="1"/>
    <x:col min="5" max="5" width="7.130000114440918" hidden="0" customWidth="1"/>
    <x:col min="6" max="6" width="20" hidden="0" customWidth="1"/>
    <x:col min="7" max="7" width="7.630000114440918" hidden="0" customWidth="1"/>
    <x:col min="8" max="8" width="9.880000114440918" hidden="0" customWidth="1"/>
    <x:col min="9" max="9" width="7.25" hidden="0" customWidth="1"/>
    <x:col min="10" max="10" width="12.630000114440918" hidden="0" customWidth="1"/>
    <x:col min="11" max="11" width="19.6299991607666" hidden="0" customWidth="1"/>
    <x:col min="12" max="12" width="13.880000114440918" hidden="0" customWidth="1"/>
    <x:col min="13" max="13" width="13.880000114440918" hidden="0" customWidth="1"/>
    <x:col min="14" max="14" width="11.630000114440918" hidden="0" customWidth="1"/>
    <x:col min="15" max="15" width="25" hidden="0" customWidth="1"/>
    <x:col min="16" max="16" width="13.630000114440918" hidden="0" customWidth="1"/>
    <x:col min="17" max="17" width="16.25" hidden="0" customWidth="1"/>
    <x:col min="18" max="18" width="28" hidden="0" customWidth="1"/>
    <x:col min="19" max="19" width="12.130000114440918" hidden="0" customWidth="1"/>
    <x:col min="20" max="20" width="54" hidden="0" customWidth="1"/>
  </x:cols>
  <x:sheetData>
    <x:row r="1" ht="26" customHeight="1">
      <x:c r="A1" s="4" t="str">
        <x:v>MV-SERUM-001｜实际盲评原始记录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2" customHeight="1">
      <x:c r="A3" s="8" t="str">
        <x:v>12 条候选记录：2 个市场 × 3 种内容类型 × 2 个版本。事实评分、修改次数和复核分钟数来自单评审者盲评工作簿；自动平台与术语状态来自当前 Demo 规则。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</x:row>
    <x:row r="4">
      <x:c r="A4" s="20" t="str">
        <x:v>Group ID</x:v>
      </x:c>
      <x:c r="B4" s="21" t="str">
        <x:v>Candidate ID</x:v>
      </x:c>
      <x:c r="C4" s="21" t="str">
        <x:v>SKU</x:v>
      </x:c>
      <x:c r="D4" s="21" t="str">
        <x:v>Market</x:v>
      </x:c>
      <x:c r="E4" s="21" t="str">
        <x:v>Language</x:v>
      </x:c>
      <x:c r="F4" s="21" t="str">
        <x:v>Content Type</x:v>
      </x:c>
      <x:c r="G4" s="21" t="str">
        <x:v>Version</x:v>
      </x:c>
      <x:c r="H4" s="21" t="str">
        <x:v>Fact Accuracy</x:v>
      </x:c>
      <x:c r="I4" s="21" t="str">
        <x:v>Fact Error</x:v>
      </x:c>
      <x:c r="J4" s="21" t="str">
        <x:v>Platform Fit (1–5)</x:v>
      </x:c>
      <x:c r="K4" s="21" t="str">
        <x:v>Language Naturalness (1–5)</x:v>
      </x:c>
      <x:c r="L4" s="21" t="str">
        <x:v>Publishability (1–5)</x:v>
      </x:c>
      <x:c r="M4" s="21" t="str">
        <x:v>Modification Count</x:v>
      </x:c>
      <x:c r="N4" s="21" t="str">
        <x:v>Review Minutes</x:v>
      </x:c>
      <x:c r="O4" s="21" t="str">
        <x:v>Failure Tags</x:v>
      </x:c>
      <x:c r="P4" s="21" t="str">
        <x:v>Auto Platform Pass</x:v>
      </x:c>
      <x:c r="Q4" s="21" t="str">
        <x:v>Auto Terminology Pass</x:v>
      </x:c>
      <x:c r="R4" s="21" t="str">
        <x:v>Terminology Detail</x:v>
      </x:c>
      <x:c r="S4" s="21" t="str">
        <x:v>One-pass Usable</x:v>
      </x:c>
      <x:c r="T4" s="22" t="str">
        <x:v>Source</x:v>
      </x:c>
    </x:row>
    <x:row r="5">
      <x:c r="A5" s="30" t="str">
        <x:v>G022</x:v>
      </x:c>
      <x:c r="B5" s="30" t="str">
        <x:v>G022-A</x:v>
      </x:c>
      <x:c r="C5" s="30" t="str">
        <x:v>MV-SERUM-001</x:v>
      </x:c>
      <x:c r="D5" s="30" t="str">
        <x:v>MX</x:v>
      </x:c>
      <x:c r="E5" s="30" t="str">
        <x:v>es-MX</x:v>
      </x:c>
      <x:c r="F5" s="30" t="str">
        <x:v>product_listing</x:v>
      </x:c>
      <x:c r="G5" s="30" t="str">
        <x:v>baseline</x:v>
      </x:c>
      <x:c r="H5" s="30" t="str">
        <x:v>Fail</x:v>
      </x:c>
      <x:c r="I5" s="30" t="str">
        <x:v>Error</x:v>
      </x:c>
      <x:c r="J5" s="30" t="n">
        <x:v>2</x:v>
      </x:c>
      <x:c r="K5" s="30" t="n">
        <x:v>2</x:v>
      </x:c>
      <x:c r="L5" s="30" t="n">
        <x:v>2</x:v>
      </x:c>
      <x:c r="M5" s="30" t="n">
        <x:v>4</x:v>
      </x:c>
      <x:c r="N5" s="30" t="n">
        <x:v>7</x:v>
      </x:c>
      <x:c r="O5" s="30" t="str">
        <x:v>Unsupported packaging; Language issue; Platform structure</x:v>
      </x:c>
      <x:c r="P5" s="30" t="str">
        <x:v>Fail</x:v>
      </x:c>
      <x:c r="Q5" s="30" t="str">
        <x:v>Fail</x:v>
      </x:c>
      <x:c r="R5" s="30" t="str">
        <x:v>serum → sérum</x:v>
      </x:c>
      <x:c r="S5" s="30" t="str">
        <x:v>Fail</x:v>
      </x:c>
      <x:c r="T5" s="30" t="str">
        <x:v>data/evaluation/human_evaluation_scored_revealed.xlsx | Blind Review!A3:Y63</x:v>
      </x:c>
    </x:row>
    <x:row r="6">
      <x:c r="A6" s="31" t="str">
        <x:v>G022</x:v>
      </x:c>
      <x:c r="B6" s="31" t="str">
        <x:v>G022-B</x:v>
      </x:c>
      <x:c r="C6" s="31" t="str">
        <x:v>MV-SERUM-001</x:v>
      </x:c>
      <x:c r="D6" s="31" t="str">
        <x:v>MX</x:v>
      </x:c>
      <x:c r="E6" s="31" t="str">
        <x:v>es-MX</x:v>
      </x:c>
      <x:c r="F6" s="31" t="str">
        <x:v>product_listing</x:v>
      </x:c>
      <x:c r="G6" s="31" t="str">
        <x:v>localizeflow</x:v>
      </x:c>
      <x:c r="H6" s="31" t="str">
        <x:v>Fail</x:v>
      </x:c>
      <x:c r="I6" s="31" t="str">
        <x:v>Error</x:v>
      </x:c>
      <x:c r="J6" s="31" t="n">
        <x:v>4</x:v>
      </x:c>
      <x:c r="K6" s="31" t="n">
        <x:v>5</x:v>
      </x:c>
      <x:c r="L6" s="31" t="n">
        <x:v>2</x:v>
      </x:c>
      <x:c r="M6" s="31" t="n">
        <x:v>2</x:v>
      </x:c>
      <x:c r="N6" s="31" t="n">
        <x:v>6</x:v>
      </x:c>
      <x:c r="O6" s="31" t="str">
        <x:v>Unsupported packaging</x:v>
      </x:c>
      <x:c r="P6" s="31" t="str">
        <x:v>Pass</x:v>
      </x:c>
      <x:c r="Q6" s="31" t="str">
        <x:v>Pass</x:v>
      </x:c>
      <x:c r="R6" s="31" t="str">
        <x:v>核心术语符合目标语言约定。</x:v>
      </x:c>
      <x:c r="S6" s="31" t="str">
        <x:v>Fail</x:v>
      </x:c>
      <x:c r="T6" s="31" t="str">
        <x:v>data/evaluation/human_evaluation_scored_revealed.xlsx | Blind Review!A3:Y63</x:v>
      </x:c>
    </x:row>
    <x:row r="7">
      <x:c r="A7" s="31" t="str">
        <x:v>G028</x:v>
      </x:c>
      <x:c r="B7" s="31" t="str">
        <x:v>G028-B</x:v>
      </x:c>
      <x:c r="C7" s="31" t="str">
        <x:v>MV-SERUM-001</x:v>
      </x:c>
      <x:c r="D7" s="31" t="str">
        <x:v>MX</x:v>
      </x:c>
      <x:c r="E7" s="31" t="str">
        <x:v>es-MX</x:v>
      </x:c>
      <x:c r="F7" s="31" t="str">
        <x:v>short_video_script</x:v>
      </x:c>
      <x:c r="G7" s="31" t="str">
        <x:v>baseline</x:v>
      </x:c>
      <x:c r="H7" s="31" t="str">
        <x:v>Pass</x:v>
      </x:c>
      <x:c r="I7" s="31" t="str">
        <x:v>No error</x:v>
      </x:c>
      <x:c r="J7" s="31" t="n">
        <x:v>3</x:v>
      </x:c>
      <x:c r="K7" s="31" t="n">
        <x:v>2</x:v>
      </x:c>
      <x:c r="L7" s="31" t="n">
        <x:v>3</x:v>
      </x:c>
      <x:c r="M7" s="31" t="n">
        <x:v>3</x:v>
      </x:c>
      <x:c r="N7" s="31" t="n">
        <x:v>6</x:v>
      </x:c>
      <x:c r="O7" s="31" t="str">
        <x:v>Language issue; Borderline mean score</x:v>
      </x:c>
      <x:c r="P7" s="31" t="str">
        <x:v>Pass</x:v>
      </x:c>
      <x:c r="Q7" s="31" t="str">
        <x:v>Fail</x:v>
      </x:c>
      <x:c r="R7" s="31" t="str">
        <x:v>serum → sérum</x:v>
      </x:c>
      <x:c r="S7" s="31" t="str">
        <x:v>Fail</x:v>
      </x:c>
      <x:c r="T7" s="31" t="str">
        <x:v>data/evaluation/human_evaluation_scored_revealed.xlsx | Blind Review!A3:Y63</x:v>
      </x:c>
    </x:row>
    <x:row r="8">
      <x:c r="A8" s="31" t="str">
        <x:v>G028</x:v>
      </x:c>
      <x:c r="B8" s="31" t="str">
        <x:v>G028-A</x:v>
      </x:c>
      <x:c r="C8" s="31" t="str">
        <x:v>MV-SERUM-001</x:v>
      </x:c>
      <x:c r="D8" s="31" t="str">
        <x:v>MX</x:v>
      </x:c>
      <x:c r="E8" s="31" t="str">
        <x:v>es-MX</x:v>
      </x:c>
      <x:c r="F8" s="31" t="str">
        <x:v>short_video_script</x:v>
      </x:c>
      <x:c r="G8" s="31" t="str">
        <x:v>localizeflow</x:v>
      </x:c>
      <x:c r="H8" s="31" t="str">
        <x:v>Pass</x:v>
      </x:c>
      <x:c r="I8" s="31" t="str">
        <x:v>No error</x:v>
      </x:c>
      <x:c r="J8" s="31" t="n">
        <x:v>4</x:v>
      </x:c>
      <x:c r="K8" s="31" t="n">
        <x:v>5</x:v>
      </x:c>
      <x:c r="L8" s="31" t="n">
        <x:v>4</x:v>
      </x:c>
      <x:c r="M8" s="31" t="n">
        <x:v>1</x:v>
      </x:c>
      <x:c r="N8" s="31" t="n">
        <x:v>4</x:v>
      </x:c>
      <x:c r="O8" s="31" t="str">
        <x:v>None</x:v>
      </x:c>
      <x:c r="P8" s="31" t="str">
        <x:v>Pass</x:v>
      </x:c>
      <x:c r="Q8" s="31" t="str">
        <x:v>Pass</x:v>
      </x:c>
      <x:c r="R8" s="31" t="str">
        <x:v>核心术语符合目标语言约定。</x:v>
      </x:c>
      <x:c r="S8" s="31" t="str">
        <x:v>Pass</x:v>
      </x:c>
      <x:c r="T8" s="31" t="str">
        <x:v>data/evaluation/human_evaluation_scored_revealed.xlsx | Blind Review!A3:Y63</x:v>
      </x:c>
    </x:row>
    <x:row r="9">
      <x:c r="A9" s="31" t="str">
        <x:v>G014</x:v>
      </x:c>
      <x:c r="B9" s="31" t="str">
        <x:v>G014-B</x:v>
      </x:c>
      <x:c r="C9" s="31" t="str">
        <x:v>MV-SERUM-001</x:v>
      </x:c>
      <x:c r="D9" s="31" t="str">
        <x:v>MX</x:v>
      </x:c>
      <x:c r="E9" s="31" t="str">
        <x:v>es-MX</x:v>
      </x:c>
      <x:c r="F9" s="31" t="str">
        <x:v>social_ad_copy</x:v>
      </x:c>
      <x:c r="G9" s="31" t="str">
        <x:v>baseline</x:v>
      </x:c>
      <x:c r="H9" s="31" t="str">
        <x:v>Pass</x:v>
      </x:c>
      <x:c r="I9" s="31" t="str">
        <x:v>No error</x:v>
      </x:c>
      <x:c r="J9" s="31" t="n">
        <x:v>3</x:v>
      </x:c>
      <x:c r="K9" s="31" t="n">
        <x:v>3</x:v>
      </x:c>
      <x:c r="L9" s="31" t="n">
        <x:v>3</x:v>
      </x:c>
      <x:c r="M9" s="31" t="n">
        <x:v>3</x:v>
      </x:c>
      <x:c r="N9" s="31" t="n">
        <x:v>5</x:v>
      </x:c>
      <x:c r="O9" s="31" t="str">
        <x:v>None</x:v>
      </x:c>
      <x:c r="P9" s="31" t="str">
        <x:v>Pass</x:v>
      </x:c>
      <x:c r="Q9" s="31" t="str">
        <x:v>Pass</x:v>
      </x:c>
      <x:c r="R9" s="31" t="str">
        <x:v>核心术语符合目标语言约定。</x:v>
      </x:c>
      <x:c r="S9" s="31" t="str">
        <x:v>Fail</x:v>
      </x:c>
      <x:c r="T9" s="31" t="str">
        <x:v>data/evaluation/human_evaluation_scored_revealed.xlsx | Blind Review!A3:Y63</x:v>
      </x:c>
    </x:row>
    <x:row r="10">
      <x:c r="A10" s="31" t="str">
        <x:v>G014</x:v>
      </x:c>
      <x:c r="B10" s="31" t="str">
        <x:v>G014-A</x:v>
      </x:c>
      <x:c r="C10" s="31" t="str">
        <x:v>MV-SERUM-001</x:v>
      </x:c>
      <x:c r="D10" s="31" t="str">
        <x:v>MX</x:v>
      </x:c>
      <x:c r="E10" s="31" t="str">
        <x:v>es-MX</x:v>
      </x:c>
      <x:c r="F10" s="31" t="str">
        <x:v>social_ad_copy</x:v>
      </x:c>
      <x:c r="G10" s="31" t="str">
        <x:v>localizeflow</x:v>
      </x:c>
      <x:c r="H10" s="31" t="str">
        <x:v>Pass</x:v>
      </x:c>
      <x:c r="I10" s="31" t="str">
        <x:v>No error</x:v>
      </x:c>
      <x:c r="J10" s="31" t="n">
        <x:v>4</x:v>
      </x:c>
      <x:c r="K10" s="31" t="n">
        <x:v>5</x:v>
      </x:c>
      <x:c r="L10" s="31" t="n">
        <x:v>4</x:v>
      </x:c>
      <x:c r="M10" s="31" t="n">
        <x:v>1</x:v>
      </x:c>
      <x:c r="N10" s="31" t="n">
        <x:v>4</x:v>
      </x:c>
      <x:c r="O10" s="31" t="str">
        <x:v>None</x:v>
      </x:c>
      <x:c r="P10" s="31" t="str">
        <x:v>Pass</x:v>
      </x:c>
      <x:c r="Q10" s="31" t="str">
        <x:v>Pass</x:v>
      </x:c>
      <x:c r="R10" s="31" t="str">
        <x:v>核心术语符合目标语言约定。</x:v>
      </x:c>
      <x:c r="S10" s="31" t="str">
        <x:v>Pass</x:v>
      </x:c>
      <x:c r="T10" s="31" t="str">
        <x:v>data/evaluation/human_evaluation_scored_revealed.xlsx | Blind Review!A3:Y63</x:v>
      </x:c>
    </x:row>
    <x:row r="11">
      <x:c r="A11" s="31" t="str">
        <x:v>G018</x:v>
      </x:c>
      <x:c r="B11" s="31" t="str">
        <x:v>G018-A</x:v>
      </x:c>
      <x:c r="C11" s="31" t="str">
        <x:v>MV-SERUM-001</x:v>
      </x:c>
      <x:c r="D11" s="31" t="str">
        <x:v>US</x:v>
      </x:c>
      <x:c r="E11" s="31" t="str">
        <x:v>en-US</x:v>
      </x:c>
      <x:c r="F11" s="31" t="str">
        <x:v>product_listing</x:v>
      </x:c>
      <x:c r="G11" s="31" t="str">
        <x:v>baseline</x:v>
      </x:c>
      <x:c r="H11" s="31" t="str">
        <x:v>Fail</x:v>
      </x:c>
      <x:c r="I11" s="31" t="str">
        <x:v>Error</x:v>
      </x:c>
      <x:c r="J11" s="31" t="n">
        <x:v>2</x:v>
      </x:c>
      <x:c r="K11" s="31" t="n">
        <x:v>3</x:v>
      </x:c>
      <x:c r="L11" s="31" t="n">
        <x:v>2</x:v>
      </x:c>
      <x:c r="M11" s="31" t="n">
        <x:v>4</x:v>
      </x:c>
      <x:c r="N11" s="31" t="n">
        <x:v>7</x:v>
      </x:c>
      <x:c r="O11" s="31" t="str">
        <x:v>Unsupported packaging; Platform structure</x:v>
      </x:c>
      <x:c r="P11" s="31" t="str">
        <x:v>Fail</x:v>
      </x:c>
      <x:c r="Q11" s="31" t="str">
        <x:v>Pass</x:v>
      </x:c>
      <x:c r="R11" s="31" t="str">
        <x:v>核心术语符合目标语言约定。</x:v>
      </x:c>
      <x:c r="S11" s="31" t="str">
        <x:v>Fail</x:v>
      </x:c>
      <x:c r="T11" s="31" t="str">
        <x:v>data/evaluation/human_evaluation_scored_revealed.xlsx | Blind Review!A3:Y63</x:v>
      </x:c>
    </x:row>
    <x:row r="12">
      <x:c r="A12" s="31" t="str">
        <x:v>G018</x:v>
      </x:c>
      <x:c r="B12" s="31" t="str">
        <x:v>G018-B</x:v>
      </x:c>
      <x:c r="C12" s="31" t="str">
        <x:v>MV-SERUM-001</x:v>
      </x:c>
      <x:c r="D12" s="31" t="str">
        <x:v>US</x:v>
      </x:c>
      <x:c r="E12" s="31" t="str">
        <x:v>en-US</x:v>
      </x:c>
      <x:c r="F12" s="31" t="str">
        <x:v>product_listing</x:v>
      </x:c>
      <x:c r="G12" s="31" t="str">
        <x:v>localizeflow</x:v>
      </x:c>
      <x:c r="H12" s="31" t="str">
        <x:v>Fail</x:v>
      </x:c>
      <x:c r="I12" s="31" t="str">
        <x:v>Error</x:v>
      </x:c>
      <x:c r="J12" s="31" t="n">
        <x:v>4</x:v>
      </x:c>
      <x:c r="K12" s="31" t="n">
        <x:v>4</x:v>
      </x:c>
      <x:c r="L12" s="31" t="n">
        <x:v>2</x:v>
      </x:c>
      <x:c r="M12" s="31" t="n">
        <x:v>3</x:v>
      </x:c>
      <x:c r="N12" s="31" t="n">
        <x:v>6</x:v>
      </x:c>
      <x:c r="O12" s="31" t="str">
        <x:v>Unsupported packaging; Language issue</x:v>
      </x:c>
      <x:c r="P12" s="31" t="str">
        <x:v>Pass</x:v>
      </x:c>
      <x:c r="Q12" s="31" t="str">
        <x:v>Fail</x:v>
      </x:c>
      <x:c r="R12" s="31" t="str">
        <x:v>a opaque → an opaque</x:v>
      </x:c>
      <x:c r="S12" s="31" t="str">
        <x:v>Fail</x:v>
      </x:c>
      <x:c r="T12" s="31" t="str">
        <x:v>data/evaluation/human_evaluation_scored_revealed.xlsx | Blind Review!A3:Y63</x:v>
      </x:c>
    </x:row>
    <x:row r="13">
      <x:c r="A13" s="31" t="str">
        <x:v>G010</x:v>
      </x:c>
      <x:c r="B13" s="31" t="str">
        <x:v>G010-A</x:v>
      </x:c>
      <x:c r="C13" s="31" t="str">
        <x:v>MV-SERUM-001</x:v>
      </x:c>
      <x:c r="D13" s="31" t="str">
        <x:v>US</x:v>
      </x:c>
      <x:c r="E13" s="31" t="str">
        <x:v>en-US</x:v>
      </x:c>
      <x:c r="F13" s="31" t="str">
        <x:v>short_video_script</x:v>
      </x:c>
      <x:c r="G13" s="31" t="str">
        <x:v>baseline</x:v>
      </x:c>
      <x:c r="H13" s="31" t="str">
        <x:v>Pass</x:v>
      </x:c>
      <x:c r="I13" s="31" t="str">
        <x:v>No error</x:v>
      </x:c>
      <x:c r="J13" s="31" t="n">
        <x:v>3</x:v>
      </x:c>
      <x:c r="K13" s="31" t="n">
        <x:v>3</x:v>
      </x:c>
      <x:c r="L13" s="31" t="n">
        <x:v>3</x:v>
      </x:c>
      <x:c r="M13" s="31" t="n">
        <x:v>3</x:v>
      </x:c>
      <x:c r="N13" s="31" t="n">
        <x:v>5</x:v>
      </x:c>
      <x:c r="O13" s="31" t="str">
        <x:v>None</x:v>
      </x:c>
      <x:c r="P13" s="31" t="str">
        <x:v>Fail</x:v>
      </x:c>
      <x:c r="Q13" s="31" t="str">
        <x:v>Pass</x:v>
      </x:c>
      <x:c r="R13" s="31" t="str">
        <x:v>核心术语符合目标语言约定。</x:v>
      </x:c>
      <x:c r="S13" s="31" t="str">
        <x:v>Fail</x:v>
      </x:c>
      <x:c r="T13" s="31" t="str">
        <x:v>data/evaluation/human_evaluation_scored_revealed.xlsx | Blind Review!A3:Y63</x:v>
      </x:c>
    </x:row>
    <x:row r="14">
      <x:c r="A14" s="31" t="str">
        <x:v>G010</x:v>
      </x:c>
      <x:c r="B14" s="31" t="str">
        <x:v>G010-B</x:v>
      </x:c>
      <x:c r="C14" s="31" t="str">
        <x:v>MV-SERUM-001</x:v>
      </x:c>
      <x:c r="D14" s="31" t="str">
        <x:v>US</x:v>
      </x:c>
      <x:c r="E14" s="31" t="str">
        <x:v>en-US</x:v>
      </x:c>
      <x:c r="F14" s="31" t="str">
        <x:v>short_video_script</x:v>
      </x:c>
      <x:c r="G14" s="31" t="str">
        <x:v>localizeflow</x:v>
      </x:c>
      <x:c r="H14" s="31" t="str">
        <x:v>Pass</x:v>
      </x:c>
      <x:c r="I14" s="31" t="str">
        <x:v>No error</x:v>
      </x:c>
      <x:c r="J14" s="31" t="n">
        <x:v>4</x:v>
      </x:c>
      <x:c r="K14" s="31" t="n">
        <x:v>5</x:v>
      </x:c>
      <x:c r="L14" s="31" t="n">
        <x:v>4</x:v>
      </x:c>
      <x:c r="M14" s="31" t="n">
        <x:v>1</x:v>
      </x:c>
      <x:c r="N14" s="31" t="n">
        <x:v>4</x:v>
      </x:c>
      <x:c r="O14" s="31" t="str">
        <x:v>None</x:v>
      </x:c>
      <x:c r="P14" s="31" t="str">
        <x:v>Pass</x:v>
      </x:c>
      <x:c r="Q14" s="31" t="str">
        <x:v>Pass</x:v>
      </x:c>
      <x:c r="R14" s="31" t="str">
        <x:v>核心术语符合目标语言约定。</x:v>
      </x:c>
      <x:c r="S14" s="31" t="str">
        <x:v>Pass</x:v>
      </x:c>
      <x:c r="T14" s="31" t="str">
        <x:v>data/evaluation/human_evaluation_scored_revealed.xlsx | Blind Review!A3:Y63</x:v>
      </x:c>
    </x:row>
    <x:row r="15">
      <x:c r="A15" s="31" t="str">
        <x:v>G023</x:v>
      </x:c>
      <x:c r="B15" s="31" t="str">
        <x:v>G023-A</x:v>
      </x:c>
      <x:c r="C15" s="31" t="str">
        <x:v>MV-SERUM-001</x:v>
      </x:c>
      <x:c r="D15" s="31" t="str">
        <x:v>US</x:v>
      </x:c>
      <x:c r="E15" s="31" t="str">
        <x:v>en-US</x:v>
      </x:c>
      <x:c r="F15" s="31" t="str">
        <x:v>social_ad_copy</x:v>
      </x:c>
      <x:c r="G15" s="31" t="str">
        <x:v>baseline</x:v>
      </x:c>
      <x:c r="H15" s="31" t="str">
        <x:v>Pass</x:v>
      </x:c>
      <x:c r="I15" s="31" t="str">
        <x:v>No error</x:v>
      </x:c>
      <x:c r="J15" s="31" t="n">
        <x:v>3</x:v>
      </x:c>
      <x:c r="K15" s="31" t="n">
        <x:v>3</x:v>
      </x:c>
      <x:c r="L15" s="31" t="n">
        <x:v>3</x:v>
      </x:c>
      <x:c r="M15" s="31" t="n">
        <x:v>3</x:v>
      </x:c>
      <x:c r="N15" s="31" t="n">
        <x:v>5</x:v>
      </x:c>
      <x:c r="O15" s="31" t="str">
        <x:v>None</x:v>
      </x:c>
      <x:c r="P15" s="31" t="str">
        <x:v>Pass</x:v>
      </x:c>
      <x:c r="Q15" s="31" t="str">
        <x:v>Pass</x:v>
      </x:c>
      <x:c r="R15" s="31" t="str">
        <x:v>核心术语符合目标语言约定。</x:v>
      </x:c>
      <x:c r="S15" s="31" t="str">
        <x:v>Fail</x:v>
      </x:c>
      <x:c r="T15" s="31" t="str">
        <x:v>data/evaluation/human_evaluation_scored_revealed.xlsx | Blind Review!A3:Y63</x:v>
      </x:c>
    </x:row>
    <x:row r="16">
      <x:c r="A16" s="32" t="str">
        <x:v>G023</x:v>
      </x:c>
      <x:c r="B16" s="32" t="str">
        <x:v>G023-B</x:v>
      </x:c>
      <x:c r="C16" s="32" t="str">
        <x:v>MV-SERUM-001</x:v>
      </x:c>
      <x:c r="D16" s="32" t="str">
        <x:v>US</x:v>
      </x:c>
      <x:c r="E16" s="32" t="str">
        <x:v>en-US</x:v>
      </x:c>
      <x:c r="F16" s="32" t="str">
        <x:v>social_ad_copy</x:v>
      </x:c>
      <x:c r="G16" s="32" t="str">
        <x:v>localizeflow</x:v>
      </x:c>
      <x:c r="H16" s="32" t="str">
        <x:v>Pass</x:v>
      </x:c>
      <x:c r="I16" s="32" t="str">
        <x:v>No error</x:v>
      </x:c>
      <x:c r="J16" s="32" t="n">
        <x:v>4</x:v>
      </x:c>
      <x:c r="K16" s="32" t="n">
        <x:v>5</x:v>
      </x:c>
      <x:c r="L16" s="32" t="n">
        <x:v>4</x:v>
      </x:c>
      <x:c r="M16" s="32" t="n">
        <x:v>1</x:v>
      </x:c>
      <x:c r="N16" s="32" t="n">
        <x:v>4</x:v>
      </x:c>
      <x:c r="O16" s="32" t="str">
        <x:v>None</x:v>
      </x:c>
      <x:c r="P16" s="32" t="str">
        <x:v>Pass</x:v>
      </x:c>
      <x:c r="Q16" s="32" t="str">
        <x:v>Pass</x:v>
      </x:c>
      <x:c r="R16" s="32" t="str">
        <x:v>核心术语符合目标语言约定。</x:v>
      </x:c>
      <x:c r="S16" s="32" t="str">
        <x:v>Pass</x:v>
      </x:c>
      <x:c r="T16" s="32" t="str">
        <x:v>data/evaluation/human_evaluation_scored_revealed.xlsx | Blind Review!A3:Y63</x:v>
      </x:c>
    </x:row>
  </x:sheetData>
  <x:mergeCells>
    <x:mergeCell ref="A1:T2"/>
    <x:mergeCell ref="A3:T3"/>
  </x:mergeCells>
  <x:conditionalFormatting sqref="A5:T16">
    <x:cfRule type="expression" dxfId="0" priority="1">
      <x:formula>$G5="localizeflow"</x:formula>
    </x:cfRule>
  </x:conditionalFormatting>
  <x:conditionalFormatting sqref="H5:H16"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a892efb8f904a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" hidden="0" customWidth="1"/>
    <x:col min="2" max="2" width="28" hidden="0" customWidth="1"/>
    <x:col min="3" max="3" width="10.25" hidden="0" customWidth="1"/>
    <x:col min="4" max="4" width="5.630000114440918" hidden="0" customWidth="1"/>
    <x:col min="5" max="5" width="7.130000114440918" hidden="0" customWidth="1"/>
    <x:col min="6" max="6" width="10" hidden="0" customWidth="1"/>
    <x:col min="7" max="7" width="44" hidden="0" customWidth="1"/>
    <x:col min="8" max="8" width="9.380000114440918" hidden="0" customWidth="1"/>
    <x:col min="9" max="9" width="11.380000114440918" hidden="0" customWidth="1"/>
    <x:col min="10" max="10" width="10.5" hidden="0" customWidth="1"/>
    <x:col min="11" max="11" width="28" hidden="0" customWidth="1"/>
    <x:col min="12" max="12" width="15.75" hidden="0" customWidth="1"/>
  </x:cols>
  <x:sheetData>
    <x:row r="1" ht="26" customHeight="1">
      <x:c r="A1" s="4" t="str">
        <x:v>MV-SERUM-001｜本地系统运行计时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8" t="str">
        <x:v>30 轮双市场配对实测；每次市场调用同时组装 Listing、短视频、社媒 3 个输出。两次预热未计入。模型 API 调用数和 API 成本均为 0。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20" t="str">
        <x:v>Trial</x:v>
      </x:c>
      <x:c r="B4" s="21" t="str">
        <x:v>Started at UTC</x:v>
      </x:c>
      <x:c r="C4" s="21" t="str">
        <x:v>SKU</x:v>
      </x:c>
      <x:c r="D4" s="21" t="str">
        <x:v>Market</x:v>
      </x:c>
      <x:c r="E4" s="21" t="str">
        <x:v>Language</x:v>
      </x:c>
      <x:c r="F4" s="21" t="str">
        <x:v>Output Count</x:v>
      </x:c>
      <x:c r="G4" s="21" t="str">
        <x:v>Content Types</x:v>
      </x:c>
      <x:c r="H4" s="21" t="str">
        <x:v>Elapsed (ms)</x:v>
      </x:c>
      <x:c r="I4" s="21" t="str">
        <x:v>Model API Calls</x:v>
      </x:c>
      <x:c r="J4" s="21" t="str">
        <x:v>API Cost (CNY)</x:v>
      </x:c>
      <x:c r="K4" s="21" t="str">
        <x:v>Generation Mode</x:v>
      </x:c>
      <x:c r="L4" s="22" t="str">
        <x:v>Paired Full Scope (ms)</x:v>
      </x:c>
    </x:row>
    <x:row r="5">
      <x:c r="A5" s="24" t="n">
        <x:v>1</x:v>
      </x:c>
      <x:c r="B5" s="36" t="n">
        <x:v>46231.470826689816</x:v>
      </x:c>
      <x:c r="C5" s="24" t="str">
        <x:v>MV-SERUM-001</x:v>
      </x:c>
      <x:c r="D5" s="24" t="str">
        <x:v>US</x:v>
      </x:c>
      <x:c r="E5" s="24" t="str">
        <x:v>en-US</x:v>
      </x:c>
      <x:c r="F5" s="24" t="n">
        <x:v>3</x:v>
      </x:c>
      <x:c r="G5" s="24" t="str">
        <x:v>product_listing|short_video_script|social_ad_copy</x:v>
      </x:c>
      <x:c r="H5" s="33" t="n">
        <x:v>0.4691</x:v>
      </x:c>
      <x:c r="I5" s="24" t="n">
        <x:v>0</x:v>
      </x:c>
      <x:c r="J5" s="39" t="n">
        <x:v>0</x:v>
      </x:c>
      <x:c r="K5" s="24" t="str">
        <x:v>offline_deterministic_demo</x:v>
      </x:c>
      <x:c r="L5" s="33" t="n">
        <x:f>IF(D5="US",SUMIF($A$5:$A$64,A5,$H$5:$H$64),"")</x:f>
        <x:v>1.0063</x:v>
      </x:c>
    </x:row>
    <x:row r="6">
      <x:c r="A6" s="25" t="n">
        <x:v>2</x:v>
      </x:c>
      <x:c r="B6" s="37" t="n">
        <x:v>46231.47082670139</x:v>
      </x:c>
      <x:c r="C6" s="25" t="str">
        <x:v>MV-SERUM-001</x:v>
      </x:c>
      <x:c r="D6" s="25" t="str">
        <x:v>US</x:v>
      </x:c>
      <x:c r="E6" s="25" t="str">
        <x:v>en-US</x:v>
      </x:c>
      <x:c r="F6" s="25" t="n">
        <x:v>3</x:v>
      </x:c>
      <x:c r="G6" s="25" t="str">
        <x:v>product_listing|short_video_script|social_ad_copy</x:v>
      </x:c>
      <x:c r="H6" s="34" t="n">
        <x:v>0.455</x:v>
      </x:c>
      <x:c r="I6" s="25" t="n">
        <x:v>0</x:v>
      </x:c>
      <x:c r="J6" s="40" t="n">
        <x:v>0</x:v>
      </x:c>
      <x:c r="K6" s="25" t="str">
        <x:v>offline_deterministic_demo</x:v>
      </x:c>
      <x:c r="L6" s="34" t="n">
        <x:f>IF(D6="US",SUMIF($A$5:$A$64,A6,$H$5:$H$64),"")</x:f>
        <x:v>0.9622999999999999</x:v>
      </x:c>
    </x:row>
    <x:row r="7">
      <x:c r="A7" s="25" t="n">
        <x:v>3</x:v>
      </x:c>
      <x:c r="B7" s="37" t="n">
        <x:v>46231.47082671296</x:v>
      </x:c>
      <x:c r="C7" s="25" t="str">
        <x:v>MV-SERUM-001</x:v>
      </x:c>
      <x:c r="D7" s="25" t="str">
        <x:v>US</x:v>
      </x:c>
      <x:c r="E7" s="25" t="str">
        <x:v>en-US</x:v>
      </x:c>
      <x:c r="F7" s="25" t="n">
        <x:v>3</x:v>
      </x:c>
      <x:c r="G7" s="25" t="str">
        <x:v>product_listing|short_video_script|social_ad_copy</x:v>
      </x:c>
      <x:c r="H7" s="34" t="n">
        <x:v>0.4364</x:v>
      </x:c>
      <x:c r="I7" s="25" t="n">
        <x:v>0</x:v>
      </x:c>
      <x:c r="J7" s="40" t="n">
        <x:v>0</x:v>
      </x:c>
      <x:c r="K7" s="25" t="str">
        <x:v>offline_deterministic_demo</x:v>
      </x:c>
      <x:c r="L7" s="34" t="n">
        <x:f>IF(D7="US",SUMIF($A$5:$A$64,A7,$H$5:$H$64),"")</x:f>
        <x:v>0.9403</x:v>
      </x:c>
    </x:row>
    <x:row r="8">
      <x:c r="A8" s="25" t="n">
        <x:v>4</x:v>
      </x:c>
      <x:c r="B8" s="37" t="n">
        <x:v>46231.47082672454</x:v>
      </x:c>
      <x:c r="C8" s="25" t="str">
        <x:v>MV-SERUM-001</x:v>
      </x:c>
      <x:c r="D8" s="25" t="str">
        <x:v>US</x:v>
      </x:c>
      <x:c r="E8" s="25" t="str">
        <x:v>en-US</x:v>
      </x:c>
      <x:c r="F8" s="25" t="n">
        <x:v>3</x:v>
      </x:c>
      <x:c r="G8" s="25" t="str">
        <x:v>product_listing|short_video_script|social_ad_copy</x:v>
      </x:c>
      <x:c r="H8" s="34" t="n">
        <x:v>0.4338</x:v>
      </x:c>
      <x:c r="I8" s="25" t="n">
        <x:v>0</x:v>
      </x:c>
      <x:c r="J8" s="40" t="n">
        <x:v>0</x:v>
      </x:c>
      <x:c r="K8" s="25" t="str">
        <x:v>offline_deterministic_demo</x:v>
      </x:c>
      <x:c r="L8" s="34" t="n">
        <x:f>IF(D8="US",SUMIF($A$5:$A$64,A8,$H$5:$H$64),"")</x:f>
        <x:v>0.9386000000000001</x:v>
      </x:c>
    </x:row>
    <x:row r="9">
      <x:c r="A9" s="25" t="n">
        <x:v>5</x:v>
      </x:c>
      <x:c r="B9" s="37" t="n">
        <x:v>46231.47082672454</x:v>
      </x:c>
      <x:c r="C9" s="25" t="str">
        <x:v>MV-SERUM-001</x:v>
      </x:c>
      <x:c r="D9" s="25" t="str">
        <x:v>US</x:v>
      </x:c>
      <x:c r="E9" s="25" t="str">
        <x:v>en-US</x:v>
      </x:c>
      <x:c r="F9" s="25" t="n">
        <x:v>3</x:v>
      </x:c>
      <x:c r="G9" s="25" t="str">
        <x:v>product_listing|short_video_script|social_ad_copy</x:v>
      </x:c>
      <x:c r="H9" s="34" t="n">
        <x:v>0.4341</x:v>
      </x:c>
      <x:c r="I9" s="25" t="n">
        <x:v>0</x:v>
      </x:c>
      <x:c r="J9" s="40" t="n">
        <x:v>0</x:v>
      </x:c>
      <x:c r="K9" s="25" t="str">
        <x:v>offline_deterministic_demo</x:v>
      </x:c>
      <x:c r="L9" s="34" t="n">
        <x:f>IF(D9="US",SUMIF($A$5:$A$64,A9,$H$5:$H$64),"")</x:f>
        <x:v>0.9158999999999999</x:v>
      </x:c>
    </x:row>
    <x:row r="10">
      <x:c r="A10" s="25" t="n">
        <x:v>6</x:v>
      </x:c>
      <x:c r="B10" s="37" t="n">
        <x:v>46231.47082673611</x:v>
      </x:c>
      <x:c r="C10" s="25" t="str">
        <x:v>MV-SERUM-001</x:v>
      </x:c>
      <x:c r="D10" s="25" t="str">
        <x:v>US</x:v>
      </x:c>
      <x:c r="E10" s="25" t="str">
        <x:v>en-US</x:v>
      </x:c>
      <x:c r="F10" s="25" t="n">
        <x:v>3</x:v>
      </x:c>
      <x:c r="G10" s="25" t="str">
        <x:v>product_listing|short_video_script|social_ad_copy</x:v>
      </x:c>
      <x:c r="H10" s="34" t="n">
        <x:v>0.4158</x:v>
      </x:c>
      <x:c r="I10" s="25" t="n">
        <x:v>0</x:v>
      </x:c>
      <x:c r="J10" s="40" t="n">
        <x:v>0</x:v>
      </x:c>
      <x:c r="K10" s="25" t="str">
        <x:v>offline_deterministic_demo</x:v>
      </x:c>
      <x:c r="L10" s="34" t="n">
        <x:f>IF(D10="US",SUMIF($A$5:$A$64,A10,$H$5:$H$64),"")</x:f>
        <x:v>0.9279</x:v>
      </x:c>
    </x:row>
    <x:row r="11">
      <x:c r="A11" s="25" t="n">
        <x:v>7</x:v>
      </x:c>
      <x:c r="B11" s="37" t="n">
        <x:v>46231.47082674768</x:v>
      </x:c>
      <x:c r="C11" s="25" t="str">
        <x:v>MV-SERUM-001</x:v>
      </x:c>
      <x:c r="D11" s="25" t="str">
        <x:v>US</x:v>
      </x:c>
      <x:c r="E11" s="25" t="str">
        <x:v>en-US</x:v>
      </x:c>
      <x:c r="F11" s="25" t="n">
        <x:v>3</x:v>
      </x:c>
      <x:c r="G11" s="25" t="str">
        <x:v>product_listing|short_video_script|social_ad_copy</x:v>
      </x:c>
      <x:c r="H11" s="34" t="n">
        <x:v>0.4366</x:v>
      </x:c>
      <x:c r="I11" s="25" t="n">
        <x:v>0</x:v>
      </x:c>
      <x:c r="J11" s="40" t="n">
        <x:v>0</x:v>
      </x:c>
      <x:c r="K11" s="25" t="str">
        <x:v>offline_deterministic_demo</x:v>
      </x:c>
      <x:c r="L11" s="34" t="n">
        <x:f>IF(D11="US",SUMIF($A$5:$A$64,A11,$H$5:$H$64),"")</x:f>
        <x:v>0.8885000000000001</x:v>
      </x:c>
    </x:row>
    <x:row r="12">
      <x:c r="A12" s="25" t="n">
        <x:v>8</x:v>
      </x:c>
      <x:c r="B12" s="37" t="n">
        <x:v>46231.47082675926</x:v>
      </x:c>
      <x:c r="C12" s="25" t="str">
        <x:v>MV-SERUM-001</x:v>
      </x:c>
      <x:c r="D12" s="25" t="str">
        <x:v>US</x:v>
      </x:c>
      <x:c r="E12" s="25" t="str">
        <x:v>en-US</x:v>
      </x:c>
      <x:c r="F12" s="25" t="n">
        <x:v>3</x:v>
      </x:c>
      <x:c r="G12" s="25" t="str">
        <x:v>product_listing|short_video_script|social_ad_copy</x:v>
      </x:c>
      <x:c r="H12" s="34" t="n">
        <x:v>0.3845</x:v>
      </x:c>
      <x:c r="I12" s="25" t="n">
        <x:v>0</x:v>
      </x:c>
      <x:c r="J12" s="40" t="n">
        <x:v>0</x:v>
      </x:c>
      <x:c r="K12" s="25" t="str">
        <x:v>offline_deterministic_demo</x:v>
      </x:c>
      <x:c r="L12" s="34" t="n">
        <x:f>IF(D12="US",SUMIF($A$5:$A$64,A12,$H$5:$H$64),"")</x:f>
        <x:v>0.8291</x:v>
      </x:c>
    </x:row>
    <x:row r="13">
      <x:c r="A13" s="25" t="n">
        <x:v>9</x:v>
      </x:c>
      <x:c r="B13" s="37" t="n">
        <x:v>46231.470826770834</x:v>
      </x:c>
      <x:c r="C13" s="25" t="str">
        <x:v>MV-SERUM-001</x:v>
      </x:c>
      <x:c r="D13" s="25" t="str">
        <x:v>US</x:v>
      </x:c>
      <x:c r="E13" s="25" t="str">
        <x:v>en-US</x:v>
      </x:c>
      <x:c r="F13" s="25" t="n">
        <x:v>3</x:v>
      </x:c>
      <x:c r="G13" s="25" t="str">
        <x:v>product_listing|short_video_script|social_ad_copy</x:v>
      </x:c>
      <x:c r="H13" s="34" t="n">
        <x:v>0.3833</x:v>
      </x:c>
      <x:c r="I13" s="25" t="n">
        <x:v>0</x:v>
      </x:c>
      <x:c r="J13" s="40" t="n">
        <x:v>0</x:v>
      </x:c>
      <x:c r="K13" s="25" t="str">
        <x:v>offline_deterministic_demo</x:v>
      </x:c>
      <x:c r="L13" s="34" t="n">
        <x:f>IF(D13="US",SUMIF($A$5:$A$64,A13,$H$5:$H$64),"")</x:f>
        <x:v>0.8303</x:v>
      </x:c>
    </x:row>
    <x:row r="14">
      <x:c r="A14" s="25" t="n">
        <x:v>10</x:v>
      </x:c>
      <x:c r="B14" s="37" t="n">
        <x:v>46231.47082678241</x:v>
      </x:c>
      <x:c r="C14" s="25" t="str">
        <x:v>MV-SERUM-001</x:v>
      </x:c>
      <x:c r="D14" s="25" t="str">
        <x:v>US</x:v>
      </x:c>
      <x:c r="E14" s="25" t="str">
        <x:v>en-US</x:v>
      </x:c>
      <x:c r="F14" s="25" t="n">
        <x:v>3</x:v>
      </x:c>
      <x:c r="G14" s="25" t="str">
        <x:v>product_listing|short_video_script|social_ad_copy</x:v>
      </x:c>
      <x:c r="H14" s="34" t="n">
        <x:v>0.4798</x:v>
      </x:c>
      <x:c r="I14" s="25" t="n">
        <x:v>0</x:v>
      </x:c>
      <x:c r="J14" s="40" t="n">
        <x:v>0</x:v>
      </x:c>
      <x:c r="K14" s="25" t="str">
        <x:v>offline_deterministic_demo</x:v>
      </x:c>
      <x:c r="L14" s="34" t="n">
        <x:f>IF(D14="US",SUMIF($A$5:$A$64,A14,$H$5:$H$64),"")</x:f>
        <x:v>0.9303</x:v>
      </x:c>
    </x:row>
    <x:row r="15">
      <x:c r="A15" s="25" t="n">
        <x:v>11</x:v>
      </x:c>
      <x:c r="B15" s="37" t="n">
        <x:v>46231.47082679398</x:v>
      </x:c>
      <x:c r="C15" s="25" t="str">
        <x:v>MV-SERUM-001</x:v>
      </x:c>
      <x:c r="D15" s="25" t="str">
        <x:v>US</x:v>
      </x:c>
      <x:c r="E15" s="25" t="str">
        <x:v>en-US</x:v>
      </x:c>
      <x:c r="F15" s="25" t="n">
        <x:v>3</x:v>
      </x:c>
      <x:c r="G15" s="25" t="str">
        <x:v>product_listing|short_video_script|social_ad_copy</x:v>
      </x:c>
      <x:c r="H15" s="34" t="n">
        <x:v>0.3656</x:v>
      </x:c>
      <x:c r="I15" s="25" t="n">
        <x:v>0</x:v>
      </x:c>
      <x:c r="J15" s="40" t="n">
        <x:v>0</x:v>
      </x:c>
      <x:c r="K15" s="25" t="str">
        <x:v>offline_deterministic_demo</x:v>
      </x:c>
      <x:c r="L15" s="34" t="n">
        <x:f>IF(D15="US",SUMIF($A$5:$A$64,A15,$H$5:$H$64),"")</x:f>
        <x:v>0.6444</x:v>
      </x:c>
    </x:row>
    <x:row r="16">
      <x:c r="A16" s="25" t="n">
        <x:v>12</x:v>
      </x:c>
      <x:c r="B16" s="37" t="n">
        <x:v>46231.470826805555</x:v>
      </x:c>
      <x:c r="C16" s="25" t="str">
        <x:v>MV-SERUM-001</x:v>
      </x:c>
      <x:c r="D16" s="25" t="str">
        <x:v>US</x:v>
      </x:c>
      <x:c r="E16" s="25" t="str">
        <x:v>en-US</x:v>
      </x:c>
      <x:c r="F16" s="25" t="n">
        <x:v>3</x:v>
      </x:c>
      <x:c r="G16" s="25" t="str">
        <x:v>product_listing|short_video_script|social_ad_copy</x:v>
      </x:c>
      <x:c r="H16" s="34" t="n">
        <x:v>0.258</x:v>
      </x:c>
      <x:c r="I16" s="25" t="n">
        <x:v>0</x:v>
      </x:c>
      <x:c r="J16" s="40" t="n">
        <x:v>0</x:v>
      </x:c>
      <x:c r="K16" s="25" t="str">
        <x:v>offline_deterministic_demo</x:v>
      </x:c>
      <x:c r="L16" s="34" t="n">
        <x:f>IF(D16="US",SUMIF($A$5:$A$64,A16,$H$5:$H$64),"")</x:f>
        <x:v>0.5341</x:v>
      </x:c>
    </x:row>
    <x:row r="17">
      <x:c r="A17" s="25" t="n">
        <x:v>13</x:v>
      </x:c>
      <x:c r="B17" s="37" t="n">
        <x:v>46231.470826805555</x:v>
      </x:c>
      <x:c r="C17" s="25" t="str">
        <x:v>MV-SERUM-001</x:v>
      </x:c>
      <x:c r="D17" s="25" t="str">
        <x:v>US</x:v>
      </x:c>
      <x:c r="E17" s="25" t="str">
        <x:v>en-US</x:v>
      </x:c>
      <x:c r="F17" s="25" t="n">
        <x:v>3</x:v>
      </x:c>
      <x:c r="G17" s="25" t="str">
        <x:v>product_listing|short_video_script|social_ad_copy</x:v>
      </x:c>
      <x:c r="H17" s="34" t="n">
        <x:v>0.2576</x:v>
      </x:c>
      <x:c r="I17" s="25" t="n">
        <x:v>0</x:v>
      </x:c>
      <x:c r="J17" s="40" t="n">
        <x:v>0</x:v>
      </x:c>
      <x:c r="K17" s="25" t="str">
        <x:v>offline_deterministic_demo</x:v>
      </x:c>
      <x:c r="L17" s="34" t="n">
        <x:f>IF(D17="US",SUMIF($A$5:$A$64,A17,$H$5:$H$64),"")</x:f>
        <x:v>0.5329999999999999</x:v>
      </x:c>
    </x:row>
    <x:row r="18">
      <x:c r="A18" s="25" t="n">
        <x:v>14</x:v>
      </x:c>
      <x:c r="B18" s="37" t="n">
        <x:v>46231.47082681713</x:v>
      </x:c>
      <x:c r="C18" s="25" t="str">
        <x:v>MV-SERUM-001</x:v>
      </x:c>
      <x:c r="D18" s="25" t="str">
        <x:v>US</x:v>
      </x:c>
      <x:c r="E18" s="25" t="str">
        <x:v>en-US</x:v>
      </x:c>
      <x:c r="F18" s="25" t="n">
        <x:v>3</x:v>
      </x:c>
      <x:c r="G18" s="25" t="str">
        <x:v>product_listing|short_video_script|social_ad_copy</x:v>
      </x:c>
      <x:c r="H18" s="34" t="n">
        <x:v>0.2553</x:v>
      </x:c>
      <x:c r="I18" s="25" t="n">
        <x:v>0</x:v>
      </x:c>
      <x:c r="J18" s="40" t="n">
        <x:v>0</x:v>
      </x:c>
      <x:c r="K18" s="25" t="str">
        <x:v>offline_deterministic_demo</x:v>
      </x:c>
      <x:c r="L18" s="34" t="n">
        <x:f>IF(D18="US",SUMIF($A$5:$A$64,A18,$H$5:$H$64),"")</x:f>
        <x:v>0.5315000000000001</x:v>
      </x:c>
    </x:row>
    <x:row r="19">
      <x:c r="A19" s="25" t="n">
        <x:v>15</x:v>
      </x:c>
      <x:c r="B19" s="37" t="n">
        <x:v>46231.47082681713</x:v>
      </x:c>
      <x:c r="C19" s="25" t="str">
        <x:v>MV-SERUM-001</x:v>
      </x:c>
      <x:c r="D19" s="25" t="str">
        <x:v>US</x:v>
      </x:c>
      <x:c r="E19" s="25" t="str">
        <x:v>en-US</x:v>
      </x:c>
      <x:c r="F19" s="25" t="n">
        <x:v>3</x:v>
      </x:c>
      <x:c r="G19" s="25" t="str">
        <x:v>product_listing|short_video_script|social_ad_copy</x:v>
      </x:c>
      <x:c r="H19" s="34" t="n">
        <x:v>0.2547</x:v>
      </x:c>
      <x:c r="I19" s="25" t="n">
        <x:v>0</x:v>
      </x:c>
      <x:c r="J19" s="40" t="n">
        <x:v>0</x:v>
      </x:c>
      <x:c r="K19" s="25" t="str">
        <x:v>offline_deterministic_demo</x:v>
      </x:c>
      <x:c r="L19" s="34" t="n">
        <x:f>IF(D19="US",SUMIF($A$5:$A$64,A19,$H$5:$H$64),"")</x:f>
        <x:v>0.5356</x:v>
      </x:c>
    </x:row>
    <x:row r="20">
      <x:c r="A20" s="25" t="n">
        <x:v>16</x:v>
      </x:c>
      <x:c r="B20" s="37" t="n">
        <x:v>46231.47082682871</x:v>
      </x:c>
      <x:c r="C20" s="25" t="str">
        <x:v>MV-SERUM-001</x:v>
      </x:c>
      <x:c r="D20" s="25" t="str">
        <x:v>US</x:v>
      </x:c>
      <x:c r="E20" s="25" t="str">
        <x:v>en-US</x:v>
      </x:c>
      <x:c r="F20" s="25" t="n">
        <x:v>3</x:v>
      </x:c>
      <x:c r="G20" s="25" t="str">
        <x:v>product_listing|short_video_script|social_ad_copy</x:v>
      </x:c>
      <x:c r="H20" s="34" t="n">
        <x:v>0.2566</x:v>
      </x:c>
      <x:c r="I20" s="25" t="n">
        <x:v>0</x:v>
      </x:c>
      <x:c r="J20" s="40" t="n">
        <x:v>0</x:v>
      </x:c>
      <x:c r="K20" s="25" t="str">
        <x:v>offline_deterministic_demo</x:v>
      </x:c>
      <x:c r="L20" s="34" t="n">
        <x:f>IF(D20="US",SUMIF($A$5:$A$64,A20,$H$5:$H$64),"")</x:f>
        <x:v>0.7303999999999999</x:v>
      </x:c>
    </x:row>
    <x:row r="21">
      <x:c r="A21" s="25" t="n">
        <x:v>17</x:v>
      </x:c>
      <x:c r="B21" s="37" t="n">
        <x:v>46231.470826840276</x:v>
      </x:c>
      <x:c r="C21" s="25" t="str">
        <x:v>MV-SERUM-001</x:v>
      </x:c>
      <x:c r="D21" s="25" t="str">
        <x:v>US</x:v>
      </x:c>
      <x:c r="E21" s="25" t="str">
        <x:v>en-US</x:v>
      </x:c>
      <x:c r="F21" s="25" t="n">
        <x:v>3</x:v>
      </x:c>
      <x:c r="G21" s="25" t="str">
        <x:v>product_listing|short_video_script|social_ad_copy</x:v>
      </x:c>
      <x:c r="H21" s="34" t="n">
        <x:v>0.3919</x:v>
      </x:c>
      <x:c r="I21" s="25" t="n">
        <x:v>0</x:v>
      </x:c>
      <x:c r="J21" s="40" t="n">
        <x:v>0</x:v>
      </x:c>
      <x:c r="K21" s="25" t="str">
        <x:v>offline_deterministic_demo</x:v>
      </x:c>
      <x:c r="L21" s="34" t="n">
        <x:f>IF(D21="US",SUMIF($A$5:$A$64,A21,$H$5:$H$64),"")</x:f>
        <x:v>0.8712</x:v>
      </x:c>
    </x:row>
    <x:row r="22">
      <x:c r="A22" s="25" t="n">
        <x:v>18</x:v>
      </x:c>
      <x:c r="B22" s="37" t="n">
        <x:v>46231.470826840276</x:v>
      </x:c>
      <x:c r="C22" s="25" t="str">
        <x:v>MV-SERUM-001</x:v>
      </x:c>
      <x:c r="D22" s="25" t="str">
        <x:v>US</x:v>
      </x:c>
      <x:c r="E22" s="25" t="str">
        <x:v>en-US</x:v>
      </x:c>
      <x:c r="F22" s="25" t="n">
        <x:v>3</x:v>
      </x:c>
      <x:c r="G22" s="25" t="str">
        <x:v>product_listing|short_video_script|social_ad_copy</x:v>
      </x:c>
      <x:c r="H22" s="34" t="n">
        <x:v>0.4953</x:v>
      </x:c>
      <x:c r="I22" s="25" t="n">
        <x:v>0</x:v>
      </x:c>
      <x:c r="J22" s="40" t="n">
        <x:v>0</x:v>
      </x:c>
      <x:c r="K22" s="25" t="str">
        <x:v>offline_deterministic_demo</x:v>
      </x:c>
      <x:c r="L22" s="34" t="n">
        <x:f>IF(D22="US",SUMIF($A$5:$A$64,A22,$H$5:$H$64),"")</x:f>
        <x:v>1.0665</x:v>
      </x:c>
    </x:row>
    <x:row r="23">
      <x:c r="A23" s="25" t="n">
        <x:v>19</x:v>
      </x:c>
      <x:c r="B23" s="37" t="n">
        <x:v>46231.47082686343</x:v>
      </x:c>
      <x:c r="C23" s="25" t="str">
        <x:v>MV-SERUM-001</x:v>
      </x:c>
      <x:c r="D23" s="25" t="str">
        <x:v>US</x:v>
      </x:c>
      <x:c r="E23" s="25" t="str">
        <x:v>en-US</x:v>
      </x:c>
      <x:c r="F23" s="25" t="n">
        <x:v>3</x:v>
      </x:c>
      <x:c r="G23" s="25" t="str">
        <x:v>product_listing|short_video_script|social_ad_copy</x:v>
      </x:c>
      <x:c r="H23" s="34" t="n">
        <x:v>0.3837</x:v>
      </x:c>
      <x:c r="I23" s="25" t="n">
        <x:v>0</x:v>
      </x:c>
      <x:c r="J23" s="40" t="n">
        <x:v>0</x:v>
      </x:c>
      <x:c r="K23" s="25" t="str">
        <x:v>offline_deterministic_demo</x:v>
      </x:c>
      <x:c r="L23" s="34" t="n">
        <x:f>IF(D23="US",SUMIF($A$5:$A$64,A23,$H$5:$H$64),"")</x:f>
        <x:v>0.8269</x:v>
      </x:c>
    </x:row>
    <x:row r="24">
      <x:c r="A24" s="25" t="n">
        <x:v>20</x:v>
      </x:c>
      <x:c r="B24" s="37" t="n">
        <x:v>46231.47082686343</x:v>
      </x:c>
      <x:c r="C24" s="25" t="str">
        <x:v>MV-SERUM-001</x:v>
      </x:c>
      <x:c r="D24" s="25" t="str">
        <x:v>US</x:v>
      </x:c>
      <x:c r="E24" s="25" t="str">
        <x:v>en-US</x:v>
      </x:c>
      <x:c r="F24" s="25" t="n">
        <x:v>3</x:v>
      </x:c>
      <x:c r="G24" s="25" t="str">
        <x:v>product_listing|short_video_script|social_ad_copy</x:v>
      </x:c>
      <x:c r="H24" s="34" t="n">
        <x:v>0.4283</x:v>
      </x:c>
      <x:c r="I24" s="25" t="n">
        <x:v>0</x:v>
      </x:c>
      <x:c r="J24" s="40" t="n">
        <x:v>0</x:v>
      </x:c>
      <x:c r="K24" s="25" t="str">
        <x:v>offline_deterministic_demo</x:v>
      </x:c>
      <x:c r="L24" s="34" t="n">
        <x:f>IF(D24="US",SUMIF($A$5:$A$64,A24,$H$5:$H$64),"")</x:f>
        <x:v>0.8327</x:v>
      </x:c>
    </x:row>
    <x:row r="25">
      <x:c r="A25" s="25" t="n">
        <x:v>21</x:v>
      </x:c>
      <x:c r="B25" s="37" t="n">
        <x:v>46231.470826875</x:v>
      </x:c>
      <x:c r="C25" s="25" t="str">
        <x:v>MV-SERUM-001</x:v>
      </x:c>
      <x:c r="D25" s="25" t="str">
        <x:v>US</x:v>
      </x:c>
      <x:c r="E25" s="25" t="str">
        <x:v>en-US</x:v>
      </x:c>
      <x:c r="F25" s="25" t="n">
        <x:v>3</x:v>
      </x:c>
      <x:c r="G25" s="25" t="str">
        <x:v>product_listing|short_video_script|social_ad_copy</x:v>
      </x:c>
      <x:c r="H25" s="34" t="n">
        <x:v>0.2555</x:v>
      </x:c>
      <x:c r="I25" s="25" t="n">
        <x:v>0</x:v>
      </x:c>
      <x:c r="J25" s="40" t="n">
        <x:v>0</x:v>
      </x:c>
      <x:c r="K25" s="25" t="str">
        <x:v>offline_deterministic_demo</x:v>
      </x:c>
      <x:c r="L25" s="34" t="n">
        <x:f>IF(D25="US",SUMIF($A$5:$A$64,A25,$H$5:$H$64),"")</x:f>
        <x:v>0.7606999999999999</x:v>
      </x:c>
    </x:row>
    <x:row r="26">
      <x:c r="A26" s="25" t="n">
        <x:v>22</x:v>
      </x:c>
      <x:c r="B26" s="37" t="n">
        <x:v>46231.47082688657</x:v>
      </x:c>
      <x:c r="C26" s="25" t="str">
        <x:v>MV-SERUM-001</x:v>
      </x:c>
      <x:c r="D26" s="25" t="str">
        <x:v>US</x:v>
      </x:c>
      <x:c r="E26" s="25" t="str">
        <x:v>en-US</x:v>
      </x:c>
      <x:c r="F26" s="25" t="n">
        <x:v>3</x:v>
      </x:c>
      <x:c r="G26" s="25" t="str">
        <x:v>product_listing|short_video_script|social_ad_copy</x:v>
      </x:c>
      <x:c r="H26" s="34" t="n">
        <x:v>0.3835</x:v>
      </x:c>
      <x:c r="I26" s="25" t="n">
        <x:v>0</x:v>
      </x:c>
      <x:c r="J26" s="40" t="n">
        <x:v>0</x:v>
      </x:c>
      <x:c r="K26" s="25" t="str">
        <x:v>offline_deterministic_demo</x:v>
      </x:c>
      <x:c r="L26" s="34" t="n">
        <x:f>IF(D26="US",SUMIF($A$5:$A$64,A26,$H$5:$H$64),"")</x:f>
        <x:v>0.8554999999999999</x:v>
      </x:c>
    </x:row>
    <x:row r="27">
      <x:c r="A27" s="25" t="n">
        <x:v>23</x:v>
      </x:c>
      <x:c r="B27" s="37" t="n">
        <x:v>46231.47082689815</x:v>
      </x:c>
      <x:c r="C27" s="25" t="str">
        <x:v>MV-SERUM-001</x:v>
      </x:c>
      <x:c r="D27" s="25" t="str">
        <x:v>US</x:v>
      </x:c>
      <x:c r="E27" s="25" t="str">
        <x:v>en-US</x:v>
      </x:c>
      <x:c r="F27" s="25" t="n">
        <x:v>3</x:v>
      </x:c>
      <x:c r="G27" s="25" t="str">
        <x:v>product_listing|short_video_script|social_ad_copy</x:v>
      </x:c>
      <x:c r="H27" s="34" t="n">
        <x:v>0.3918</x:v>
      </x:c>
      <x:c r="I27" s="25" t="n">
        <x:v>0</x:v>
      </x:c>
      <x:c r="J27" s="40" t="n">
        <x:v>0</x:v>
      </x:c>
      <x:c r="K27" s="25" t="str">
        <x:v>offline_deterministic_demo</x:v>
      </x:c>
      <x:c r="L27" s="34" t="n">
        <x:f>IF(D27="US",SUMIF($A$5:$A$64,A27,$H$5:$H$64),"")</x:f>
        <x:v>0.8492</x:v>
      </x:c>
    </x:row>
    <x:row r="28">
      <x:c r="A28" s="25" t="n">
        <x:v>24</x:v>
      </x:c>
      <x:c r="B28" s="37" t="n">
        <x:v>46231.470826909725</x:v>
      </x:c>
      <x:c r="C28" s="25" t="str">
        <x:v>MV-SERUM-001</x:v>
      </x:c>
      <x:c r="D28" s="25" t="str">
        <x:v>US</x:v>
      </x:c>
      <x:c r="E28" s="25" t="str">
        <x:v>en-US</x:v>
      </x:c>
      <x:c r="F28" s="25" t="n">
        <x:v>3</x:v>
      </x:c>
      <x:c r="G28" s="25" t="str">
        <x:v>product_listing|short_video_script|social_ad_copy</x:v>
      </x:c>
      <x:c r="H28" s="34" t="n">
        <x:v>0.3906</x:v>
      </x:c>
      <x:c r="I28" s="25" t="n">
        <x:v>0</x:v>
      </x:c>
      <x:c r="J28" s="40" t="n">
        <x:v>0</x:v>
      </x:c>
      <x:c r="K28" s="25" t="str">
        <x:v>offline_deterministic_demo</x:v>
      </x:c>
      <x:c r="L28" s="34" t="n">
        <x:f>IF(D28="US",SUMIF($A$5:$A$64,A28,$H$5:$H$64),"")</x:f>
        <x:v>0.8471</x:v>
      </x:c>
    </x:row>
    <x:row r="29">
      <x:c r="A29" s="25" t="n">
        <x:v>25</x:v>
      </x:c>
      <x:c r="B29" s="37" t="n">
        <x:v>46231.47082692129</x:v>
      </x:c>
      <x:c r="C29" s="25" t="str">
        <x:v>MV-SERUM-001</x:v>
      </x:c>
      <x:c r="D29" s="25" t="str">
        <x:v>US</x:v>
      </x:c>
      <x:c r="E29" s="25" t="str">
        <x:v>en-US</x:v>
      </x:c>
      <x:c r="F29" s="25" t="n">
        <x:v>3</x:v>
      </x:c>
      <x:c r="G29" s="25" t="str">
        <x:v>product_listing|short_video_script|social_ad_copy</x:v>
      </x:c>
      <x:c r="H29" s="34" t="n">
        <x:v>0.3903</x:v>
      </x:c>
      <x:c r="I29" s="25" t="n">
        <x:v>0</x:v>
      </x:c>
      <x:c r="J29" s="40" t="n">
        <x:v>0</x:v>
      </x:c>
      <x:c r="K29" s="25" t="str">
        <x:v>offline_deterministic_demo</x:v>
      </x:c>
      <x:c r="L29" s="34" t="n">
        <x:f>IF(D29="US",SUMIF($A$5:$A$64,A29,$H$5:$H$64),"")</x:f>
        <x:v>0.8504</x:v>
      </x:c>
    </x:row>
    <x:row r="30">
      <x:c r="A30" s="25" t="n">
        <x:v>26</x:v>
      </x:c>
      <x:c r="B30" s="37" t="n">
        <x:v>46231.47082693287</x:v>
      </x:c>
      <x:c r="C30" s="25" t="str">
        <x:v>MV-SERUM-001</x:v>
      </x:c>
      <x:c r="D30" s="25" t="str">
        <x:v>US</x:v>
      </x:c>
      <x:c r="E30" s="25" t="str">
        <x:v>en-US</x:v>
      </x:c>
      <x:c r="F30" s="25" t="n">
        <x:v>3</x:v>
      </x:c>
      <x:c r="G30" s="25" t="str">
        <x:v>product_listing|short_video_script|social_ad_copy</x:v>
      </x:c>
      <x:c r="H30" s="34" t="n">
        <x:v>0.4187</x:v>
      </x:c>
      <x:c r="I30" s="25" t="n">
        <x:v>0</x:v>
      </x:c>
      <x:c r="J30" s="40" t="n">
        <x:v>0</x:v>
      </x:c>
      <x:c r="K30" s="25" t="str">
        <x:v>offline_deterministic_demo</x:v>
      </x:c>
      <x:c r="L30" s="34" t="n">
        <x:f>IF(D30="US",SUMIF($A$5:$A$64,A30,$H$5:$H$64),"")</x:f>
        <x:v>0.9029</x:v>
      </x:c>
    </x:row>
    <x:row r="31">
      <x:c r="A31" s="25" t="n">
        <x:v>27</x:v>
      </x:c>
      <x:c r="B31" s="37" t="n">
        <x:v>46231.47082693287</x:v>
      </x:c>
      <x:c r="C31" s="25" t="str">
        <x:v>MV-SERUM-001</x:v>
      </x:c>
      <x:c r="D31" s="25" t="str">
        <x:v>US</x:v>
      </x:c>
      <x:c r="E31" s="25" t="str">
        <x:v>en-US</x:v>
      </x:c>
      <x:c r="F31" s="25" t="n">
        <x:v>3</x:v>
      </x:c>
      <x:c r="G31" s="25" t="str">
        <x:v>product_listing|short_video_script|social_ad_copy</x:v>
      </x:c>
      <x:c r="H31" s="34" t="n">
        <x:v>0.4429</x:v>
      </x:c>
      <x:c r="I31" s="25" t="n">
        <x:v>0</x:v>
      </x:c>
      <x:c r="J31" s="40" t="n">
        <x:v>0</x:v>
      </x:c>
      <x:c r="K31" s="25" t="str">
        <x:v>offline_deterministic_demo</x:v>
      </x:c>
      <x:c r="L31" s="34" t="n">
        <x:f>IF(D31="US",SUMIF($A$5:$A$64,A31,$H$5:$H$64),"")</x:f>
        <x:v>0.9402</x:v>
      </x:c>
    </x:row>
    <x:row r="32">
      <x:c r="A32" s="25" t="n">
        <x:v>28</x:v>
      </x:c>
      <x:c r="B32" s="37" t="n">
        <x:v>46231.470826944445</x:v>
      </x:c>
      <x:c r="C32" s="25" t="str">
        <x:v>MV-SERUM-001</x:v>
      </x:c>
      <x:c r="D32" s="25" t="str">
        <x:v>US</x:v>
      </x:c>
      <x:c r="E32" s="25" t="str">
        <x:v>en-US</x:v>
      </x:c>
      <x:c r="F32" s="25" t="n">
        <x:v>3</x:v>
      </x:c>
      <x:c r="G32" s="25" t="str">
        <x:v>product_listing|short_video_script|social_ad_copy</x:v>
      </x:c>
      <x:c r="H32" s="34" t="n">
        <x:v>0.4271</x:v>
      </x:c>
      <x:c r="I32" s="25" t="n">
        <x:v>0</x:v>
      </x:c>
      <x:c r="J32" s="40" t="n">
        <x:v>0</x:v>
      </x:c>
      <x:c r="K32" s="25" t="str">
        <x:v>offline_deterministic_demo</x:v>
      </x:c>
      <x:c r="L32" s="34" t="n">
        <x:f>IF(D32="US",SUMIF($A$5:$A$64,A32,$H$5:$H$64),"")</x:f>
        <x:v>0.9315</x:v>
      </x:c>
    </x:row>
    <x:row r="33">
      <x:c r="A33" s="25" t="n">
        <x:v>29</x:v>
      </x:c>
      <x:c r="B33" s="37" t="n">
        <x:v>46231.47082695602</x:v>
      </x:c>
      <x:c r="C33" s="25" t="str">
        <x:v>MV-SERUM-001</x:v>
      </x:c>
      <x:c r="D33" s="25" t="str">
        <x:v>US</x:v>
      </x:c>
      <x:c r="E33" s="25" t="str">
        <x:v>en-US</x:v>
      </x:c>
      <x:c r="F33" s="25" t="n">
        <x:v>3</x:v>
      </x:c>
      <x:c r="G33" s="25" t="str">
        <x:v>product_listing|short_video_script|social_ad_copy</x:v>
      </x:c>
      <x:c r="H33" s="34" t="n">
        <x:v>0.54</x:v>
      </x:c>
      <x:c r="I33" s="25" t="n">
        <x:v>0</x:v>
      </x:c>
      <x:c r="J33" s="40" t="n">
        <x:v>0</x:v>
      </x:c>
      <x:c r="K33" s="25" t="str">
        <x:v>offline_deterministic_demo</x:v>
      </x:c>
      <x:c r="L33" s="34" t="n">
        <x:f>IF(D33="US",SUMIF($A$5:$A$64,A33,$H$5:$H$64),"")</x:f>
        <x:v>1.0274</x:v>
      </x:c>
    </x:row>
    <x:row r="34">
      <x:c r="A34" s="25" t="n">
        <x:v>30</x:v>
      </x:c>
      <x:c r="B34" s="37" t="n">
        <x:v>46231.47082696759</x:v>
      </x:c>
      <x:c r="C34" s="25" t="str">
        <x:v>MV-SERUM-001</x:v>
      </x:c>
      <x:c r="D34" s="25" t="str">
        <x:v>US</x:v>
      </x:c>
      <x:c r="E34" s="25" t="str">
        <x:v>en-US</x:v>
      </x:c>
      <x:c r="F34" s="25" t="n">
        <x:v>3</x:v>
      </x:c>
      <x:c r="G34" s="25" t="str">
        <x:v>product_listing|short_video_script|social_ad_copy</x:v>
      </x:c>
      <x:c r="H34" s="34" t="n">
        <x:v>0.4194</x:v>
      </x:c>
      <x:c r="I34" s="25" t="n">
        <x:v>0</x:v>
      </x:c>
      <x:c r="J34" s="40" t="n">
        <x:v>0</x:v>
      </x:c>
      <x:c r="K34" s="25" t="str">
        <x:v>offline_deterministic_demo</x:v>
      </x:c>
      <x:c r="L34" s="34" t="n">
        <x:f>IF(D34="US",SUMIF($A$5:$A$64,A34,$H$5:$H$64),"")</x:f>
        <x:v>0.8766</x:v>
      </x:c>
    </x:row>
    <x:row r="35">
      <x:c r="A35" s="25" t="n">
        <x:v>1</x:v>
      </x:c>
      <x:c r="B35" s="37" t="n">
        <x:v>46231.470826689816</x:v>
      </x:c>
      <x:c r="C35" s="25" t="str">
        <x:v>MV-SERUM-001</x:v>
      </x:c>
      <x:c r="D35" s="25" t="str">
        <x:v>MX</x:v>
      </x:c>
      <x:c r="E35" s="25" t="str">
        <x:v>es-MX</x:v>
      </x:c>
      <x:c r="F35" s="25" t="n">
        <x:v>3</x:v>
      </x:c>
      <x:c r="G35" s="25" t="str">
        <x:v>product_listing|short_video_script|social_ad_copy</x:v>
      </x:c>
      <x:c r="H35" s="34" t="n">
        <x:v>0.5372</x:v>
      </x:c>
      <x:c r="I35" s="25" t="n">
        <x:v>0</x:v>
      </x:c>
      <x:c r="J35" s="40" t="n">
        <x:v>0</x:v>
      </x:c>
      <x:c r="K35" s="25" t="str">
        <x:v>offline_deterministic_demo</x:v>
      </x:c>
      <x:c r="L35" s="34" t="str">
        <x:f>IF(D35="US",SUMIF($A$5:$A$64,A35,$H$5:$H$64),"")</x:f>
      </x:c>
    </x:row>
    <x:row r="36">
      <x:c r="A36" s="25" t="n">
        <x:v>2</x:v>
      </x:c>
      <x:c r="B36" s="37" t="n">
        <x:v>46231.47082670139</x:v>
      </x:c>
      <x:c r="C36" s="25" t="str">
        <x:v>MV-SERUM-001</x:v>
      </x:c>
      <x:c r="D36" s="25" t="str">
        <x:v>MX</x:v>
      </x:c>
      <x:c r="E36" s="25" t="str">
        <x:v>es-MX</x:v>
      </x:c>
      <x:c r="F36" s="25" t="n">
        <x:v>3</x:v>
      </x:c>
      <x:c r="G36" s="25" t="str">
        <x:v>product_listing|short_video_script|social_ad_copy</x:v>
      </x:c>
      <x:c r="H36" s="34" t="n">
        <x:v>0.5073</x:v>
      </x:c>
      <x:c r="I36" s="25" t="n">
        <x:v>0</x:v>
      </x:c>
      <x:c r="J36" s="40" t="n">
        <x:v>0</x:v>
      </x:c>
      <x:c r="K36" s="25" t="str">
        <x:v>offline_deterministic_demo</x:v>
      </x:c>
      <x:c r="L36" s="34" t="str">
        <x:f>IF(D36="US",SUMIF($A$5:$A$64,A36,$H$5:$H$64),"")</x:f>
      </x:c>
    </x:row>
    <x:row r="37">
      <x:c r="A37" s="25" t="n">
        <x:v>3</x:v>
      </x:c>
      <x:c r="B37" s="37" t="n">
        <x:v>46231.47082671296</x:v>
      </x:c>
      <x:c r="C37" s="25" t="str">
        <x:v>MV-SERUM-001</x:v>
      </x:c>
      <x:c r="D37" s="25" t="str">
        <x:v>MX</x:v>
      </x:c>
      <x:c r="E37" s="25" t="str">
        <x:v>es-MX</x:v>
      </x:c>
      <x:c r="F37" s="25" t="n">
        <x:v>3</x:v>
      </x:c>
      <x:c r="G37" s="25" t="str">
        <x:v>product_listing|short_video_script|social_ad_copy</x:v>
      </x:c>
      <x:c r="H37" s="34" t="n">
        <x:v>0.5039</x:v>
      </x:c>
      <x:c r="I37" s="25" t="n">
        <x:v>0</x:v>
      </x:c>
      <x:c r="J37" s="40" t="n">
        <x:v>0</x:v>
      </x:c>
      <x:c r="K37" s="25" t="str">
        <x:v>offline_deterministic_demo</x:v>
      </x:c>
      <x:c r="L37" s="34" t="str">
        <x:f>IF(D37="US",SUMIF($A$5:$A$64,A37,$H$5:$H$64),"")</x:f>
      </x:c>
    </x:row>
    <x:row r="38">
      <x:c r="A38" s="25" t="n">
        <x:v>4</x:v>
      </x:c>
      <x:c r="B38" s="37" t="n">
        <x:v>46231.47082672454</x:v>
      </x:c>
      <x:c r="C38" s="25" t="str">
        <x:v>MV-SERUM-001</x:v>
      </x:c>
      <x:c r="D38" s="25" t="str">
        <x:v>MX</x:v>
      </x:c>
      <x:c r="E38" s="25" t="str">
        <x:v>es-MX</x:v>
      </x:c>
      <x:c r="F38" s="25" t="n">
        <x:v>3</x:v>
      </x:c>
      <x:c r="G38" s="25" t="str">
        <x:v>product_listing|short_video_script|social_ad_copy</x:v>
      </x:c>
      <x:c r="H38" s="34" t="n">
        <x:v>0.5048</x:v>
      </x:c>
      <x:c r="I38" s="25" t="n">
        <x:v>0</x:v>
      </x:c>
      <x:c r="J38" s="40" t="n">
        <x:v>0</x:v>
      </x:c>
      <x:c r="K38" s="25" t="str">
        <x:v>offline_deterministic_demo</x:v>
      </x:c>
      <x:c r="L38" s="34" t="str">
        <x:f>IF(D38="US",SUMIF($A$5:$A$64,A38,$H$5:$H$64),"")</x:f>
      </x:c>
    </x:row>
    <x:row r="39">
      <x:c r="A39" s="25" t="n">
        <x:v>5</x:v>
      </x:c>
      <x:c r="B39" s="37" t="n">
        <x:v>46231.47082673611</x:v>
      </x:c>
      <x:c r="C39" s="25" t="str">
        <x:v>MV-SERUM-001</x:v>
      </x:c>
      <x:c r="D39" s="25" t="str">
        <x:v>MX</x:v>
      </x:c>
      <x:c r="E39" s="25" t="str">
        <x:v>es-MX</x:v>
      </x:c>
      <x:c r="F39" s="25" t="n">
        <x:v>3</x:v>
      </x:c>
      <x:c r="G39" s="25" t="str">
        <x:v>product_listing|short_video_script|social_ad_copy</x:v>
      </x:c>
      <x:c r="H39" s="34" t="n">
        <x:v>0.4818</x:v>
      </x:c>
      <x:c r="I39" s="25" t="n">
        <x:v>0</x:v>
      </x:c>
      <x:c r="J39" s="40" t="n">
        <x:v>0</x:v>
      </x:c>
      <x:c r="K39" s="25" t="str">
        <x:v>offline_deterministic_demo</x:v>
      </x:c>
      <x:c r="L39" s="34" t="str">
        <x:f>IF(D39="US",SUMIF($A$5:$A$64,A39,$H$5:$H$64),"")</x:f>
      </x:c>
    </x:row>
    <x:row r="40">
      <x:c r="A40" s="25" t="n">
        <x:v>6</x:v>
      </x:c>
      <x:c r="B40" s="37" t="n">
        <x:v>46231.47082674768</x:v>
      </x:c>
      <x:c r="C40" s="25" t="str">
        <x:v>MV-SERUM-001</x:v>
      </x:c>
      <x:c r="D40" s="25" t="str">
        <x:v>MX</x:v>
      </x:c>
      <x:c r="E40" s="25" t="str">
        <x:v>es-MX</x:v>
      </x:c>
      <x:c r="F40" s="25" t="n">
        <x:v>3</x:v>
      </x:c>
      <x:c r="G40" s="25" t="str">
        <x:v>product_listing|short_video_script|social_ad_copy</x:v>
      </x:c>
      <x:c r="H40" s="34" t="n">
        <x:v>0.5121</x:v>
      </x:c>
      <x:c r="I40" s="25" t="n">
        <x:v>0</x:v>
      </x:c>
      <x:c r="J40" s="40" t="n">
        <x:v>0</x:v>
      </x:c>
      <x:c r="K40" s="25" t="str">
        <x:v>offline_deterministic_demo</x:v>
      </x:c>
      <x:c r="L40" s="34" t="str">
        <x:f>IF(D40="US",SUMIF($A$5:$A$64,A40,$H$5:$H$64),"")</x:f>
      </x:c>
    </x:row>
    <x:row r="41">
      <x:c r="A41" s="25" t="n">
        <x:v>7</x:v>
      </x:c>
      <x:c r="B41" s="37" t="n">
        <x:v>46231.47082675926</x:v>
      </x:c>
      <x:c r="C41" s="25" t="str">
        <x:v>MV-SERUM-001</x:v>
      </x:c>
      <x:c r="D41" s="25" t="str">
        <x:v>MX</x:v>
      </x:c>
      <x:c r="E41" s="25" t="str">
        <x:v>es-MX</x:v>
      </x:c>
      <x:c r="F41" s="25" t="n">
        <x:v>3</x:v>
      </x:c>
      <x:c r="G41" s="25" t="str">
        <x:v>product_listing|short_video_script|social_ad_copy</x:v>
      </x:c>
      <x:c r="H41" s="34" t="n">
        <x:v>0.4519</x:v>
      </x:c>
      <x:c r="I41" s="25" t="n">
        <x:v>0</x:v>
      </x:c>
      <x:c r="J41" s="40" t="n">
        <x:v>0</x:v>
      </x:c>
      <x:c r="K41" s="25" t="str">
        <x:v>offline_deterministic_demo</x:v>
      </x:c>
      <x:c r="L41" s="34" t="str">
        <x:f>IF(D41="US",SUMIF($A$5:$A$64,A41,$H$5:$H$64),"")</x:f>
      </x:c>
    </x:row>
    <x:row r="42">
      <x:c r="A42" s="25" t="n">
        <x:v>8</x:v>
      </x:c>
      <x:c r="B42" s="37" t="n">
        <x:v>46231.470826770834</x:v>
      </x:c>
      <x:c r="C42" s="25" t="str">
        <x:v>MV-SERUM-001</x:v>
      </x:c>
      <x:c r="D42" s="25" t="str">
        <x:v>MX</x:v>
      </x:c>
      <x:c r="E42" s="25" t="str">
        <x:v>es-MX</x:v>
      </x:c>
      <x:c r="F42" s="25" t="n">
        <x:v>3</x:v>
      </x:c>
      <x:c r="G42" s="25" t="str">
        <x:v>product_listing|short_video_script|social_ad_copy</x:v>
      </x:c>
      <x:c r="H42" s="34" t="n">
        <x:v>0.4446</x:v>
      </x:c>
      <x:c r="I42" s="25" t="n">
        <x:v>0</x:v>
      </x:c>
      <x:c r="J42" s="40" t="n">
        <x:v>0</x:v>
      </x:c>
      <x:c r="K42" s="25" t="str">
        <x:v>offline_deterministic_demo</x:v>
      </x:c>
      <x:c r="L42" s="34" t="str">
        <x:f>IF(D42="US",SUMIF($A$5:$A$64,A42,$H$5:$H$64),"")</x:f>
      </x:c>
    </x:row>
    <x:row r="43">
      <x:c r="A43" s="25" t="n">
        <x:v>9</x:v>
      </x:c>
      <x:c r="B43" s="37" t="n">
        <x:v>46231.47082678241</x:v>
      </x:c>
      <x:c r="C43" s="25" t="str">
        <x:v>MV-SERUM-001</x:v>
      </x:c>
      <x:c r="D43" s="25" t="str">
        <x:v>MX</x:v>
      </x:c>
      <x:c r="E43" s="25" t="str">
        <x:v>es-MX</x:v>
      </x:c>
      <x:c r="F43" s="25" t="n">
        <x:v>3</x:v>
      </x:c>
      <x:c r="G43" s="25" t="str">
        <x:v>product_listing|short_video_script|social_ad_copy</x:v>
      </x:c>
      <x:c r="H43" s="34" t="n">
        <x:v>0.447</x:v>
      </x:c>
      <x:c r="I43" s="25" t="n">
        <x:v>0</x:v>
      </x:c>
      <x:c r="J43" s="40" t="n">
        <x:v>0</x:v>
      </x:c>
      <x:c r="K43" s="25" t="str">
        <x:v>offline_deterministic_demo</x:v>
      </x:c>
      <x:c r="L43" s="34" t="str">
        <x:f>IF(D43="US",SUMIF($A$5:$A$64,A43,$H$5:$H$64),"")</x:f>
      </x:c>
    </x:row>
    <x:row r="44">
      <x:c r="A44" s="25" t="n">
        <x:v>10</x:v>
      </x:c>
      <x:c r="B44" s="37" t="n">
        <x:v>46231.47082678241</x:v>
      </x:c>
      <x:c r="C44" s="25" t="str">
        <x:v>MV-SERUM-001</x:v>
      </x:c>
      <x:c r="D44" s="25" t="str">
        <x:v>MX</x:v>
      </x:c>
      <x:c r="E44" s="25" t="str">
        <x:v>es-MX</x:v>
      </x:c>
      <x:c r="F44" s="25" t="n">
        <x:v>3</x:v>
      </x:c>
      <x:c r="G44" s="25" t="str">
        <x:v>product_listing|short_video_script|social_ad_copy</x:v>
      </x:c>
      <x:c r="H44" s="34" t="n">
        <x:v>0.4505</x:v>
      </x:c>
      <x:c r="I44" s="25" t="n">
        <x:v>0</x:v>
      </x:c>
      <x:c r="J44" s="40" t="n">
        <x:v>0</x:v>
      </x:c>
      <x:c r="K44" s="25" t="str">
        <x:v>offline_deterministic_demo</x:v>
      </x:c>
      <x:c r="L44" s="34" t="str">
        <x:f>IF(D44="US",SUMIF($A$5:$A$64,A44,$H$5:$H$64),"")</x:f>
      </x:c>
    </x:row>
    <x:row r="45">
      <x:c r="A45" s="25" t="n">
        <x:v>11</x:v>
      </x:c>
      <x:c r="B45" s="37" t="n">
        <x:v>46231.47082679398</x:v>
      </x:c>
      <x:c r="C45" s="25" t="str">
        <x:v>MV-SERUM-001</x:v>
      </x:c>
      <x:c r="D45" s="25" t="str">
        <x:v>MX</x:v>
      </x:c>
      <x:c r="E45" s="25" t="str">
        <x:v>es-MX</x:v>
      </x:c>
      <x:c r="F45" s="25" t="n">
        <x:v>3</x:v>
      </x:c>
      <x:c r="G45" s="25" t="str">
        <x:v>product_listing|short_video_script|social_ad_copy</x:v>
      </x:c>
      <x:c r="H45" s="34" t="n">
        <x:v>0.2788</x:v>
      </x:c>
      <x:c r="I45" s="25" t="n">
        <x:v>0</x:v>
      </x:c>
      <x:c r="J45" s="40" t="n">
        <x:v>0</x:v>
      </x:c>
      <x:c r="K45" s="25" t="str">
        <x:v>offline_deterministic_demo</x:v>
      </x:c>
      <x:c r="L45" s="34" t="str">
        <x:f>IF(D45="US",SUMIF($A$5:$A$64,A45,$H$5:$H$64),"")</x:f>
      </x:c>
    </x:row>
    <x:row r="46">
      <x:c r="A46" s="25" t="n">
        <x:v>12</x:v>
      </x:c>
      <x:c r="B46" s="37" t="n">
        <x:v>46231.470826805555</x:v>
      </x:c>
      <x:c r="C46" s="25" t="str">
        <x:v>MV-SERUM-001</x:v>
      </x:c>
      <x:c r="D46" s="25" t="str">
        <x:v>MX</x:v>
      </x:c>
      <x:c r="E46" s="25" t="str">
        <x:v>es-MX</x:v>
      </x:c>
      <x:c r="F46" s="25" t="n">
        <x:v>3</x:v>
      </x:c>
      <x:c r="G46" s="25" t="str">
        <x:v>product_listing|short_video_script|social_ad_copy</x:v>
      </x:c>
      <x:c r="H46" s="34" t="n">
        <x:v>0.2761</x:v>
      </x:c>
      <x:c r="I46" s="25" t="n">
        <x:v>0</x:v>
      </x:c>
      <x:c r="J46" s="40" t="n">
        <x:v>0</x:v>
      </x:c>
      <x:c r="K46" s="25" t="str">
        <x:v>offline_deterministic_demo</x:v>
      </x:c>
      <x:c r="L46" s="34" t="str">
        <x:f>IF(D46="US",SUMIF($A$5:$A$64,A46,$H$5:$H$64),"")</x:f>
      </x:c>
    </x:row>
    <x:row r="47">
      <x:c r="A47" s="25" t="n">
        <x:v>13</x:v>
      </x:c>
      <x:c r="B47" s="37" t="n">
        <x:v>46231.470826805555</x:v>
      </x:c>
      <x:c r="C47" s="25" t="str">
        <x:v>MV-SERUM-001</x:v>
      </x:c>
      <x:c r="D47" s="25" t="str">
        <x:v>MX</x:v>
      </x:c>
      <x:c r="E47" s="25" t="str">
        <x:v>es-MX</x:v>
      </x:c>
      <x:c r="F47" s="25" t="n">
        <x:v>3</x:v>
      </x:c>
      <x:c r="G47" s="25" t="str">
        <x:v>product_listing|short_video_script|social_ad_copy</x:v>
      </x:c>
      <x:c r="H47" s="34" t="n">
        <x:v>0.2754</x:v>
      </x:c>
      <x:c r="I47" s="25" t="n">
        <x:v>0</x:v>
      </x:c>
      <x:c r="J47" s="40" t="n">
        <x:v>0</x:v>
      </x:c>
      <x:c r="K47" s="25" t="str">
        <x:v>offline_deterministic_demo</x:v>
      </x:c>
      <x:c r="L47" s="34" t="str">
        <x:f>IF(D47="US",SUMIF($A$5:$A$64,A47,$H$5:$H$64),"")</x:f>
      </x:c>
    </x:row>
    <x:row r="48">
      <x:c r="A48" s="25" t="n">
        <x:v>14</x:v>
      </x:c>
      <x:c r="B48" s="37" t="n">
        <x:v>46231.47082681713</x:v>
      </x:c>
      <x:c r="C48" s="25" t="str">
        <x:v>MV-SERUM-001</x:v>
      </x:c>
      <x:c r="D48" s="25" t="str">
        <x:v>MX</x:v>
      </x:c>
      <x:c r="E48" s="25" t="str">
        <x:v>es-MX</x:v>
      </x:c>
      <x:c r="F48" s="25" t="n">
        <x:v>3</x:v>
      </x:c>
      <x:c r="G48" s="25" t="str">
        <x:v>product_listing|short_video_script|social_ad_copy</x:v>
      </x:c>
      <x:c r="H48" s="34" t="n">
        <x:v>0.2762</x:v>
      </x:c>
      <x:c r="I48" s="25" t="n">
        <x:v>0</x:v>
      </x:c>
      <x:c r="J48" s="40" t="n">
        <x:v>0</x:v>
      </x:c>
      <x:c r="K48" s="25" t="str">
        <x:v>offline_deterministic_demo</x:v>
      </x:c>
      <x:c r="L48" s="34" t="str">
        <x:f>IF(D48="US",SUMIF($A$5:$A$64,A48,$H$5:$H$64),"")</x:f>
      </x:c>
    </x:row>
    <x:row r="49">
      <x:c r="A49" s="25" t="n">
        <x:v>15</x:v>
      </x:c>
      <x:c r="B49" s="37" t="n">
        <x:v>46231.47082682871</x:v>
      </x:c>
      <x:c r="C49" s="25" t="str">
        <x:v>MV-SERUM-001</x:v>
      </x:c>
      <x:c r="D49" s="25" t="str">
        <x:v>MX</x:v>
      </x:c>
      <x:c r="E49" s="25" t="str">
        <x:v>es-MX</x:v>
      </x:c>
      <x:c r="F49" s="25" t="n">
        <x:v>3</x:v>
      </x:c>
      <x:c r="G49" s="25" t="str">
        <x:v>product_listing|short_video_script|social_ad_copy</x:v>
      </x:c>
      <x:c r="H49" s="34" t="n">
        <x:v>0.2809</x:v>
      </x:c>
      <x:c r="I49" s="25" t="n">
        <x:v>0</x:v>
      </x:c>
      <x:c r="J49" s="40" t="n">
        <x:v>0</x:v>
      </x:c>
      <x:c r="K49" s="25" t="str">
        <x:v>offline_deterministic_demo</x:v>
      </x:c>
      <x:c r="L49" s="34" t="str">
        <x:f>IF(D49="US",SUMIF($A$5:$A$64,A49,$H$5:$H$64),"")</x:f>
      </x:c>
    </x:row>
    <x:row r="50">
      <x:c r="A50" s="25" t="n">
        <x:v>16</x:v>
      </x:c>
      <x:c r="B50" s="37" t="n">
        <x:v>46231.47082682871</x:v>
      </x:c>
      <x:c r="C50" s="25" t="str">
        <x:v>MV-SERUM-001</x:v>
      </x:c>
      <x:c r="D50" s="25" t="str">
        <x:v>MX</x:v>
      </x:c>
      <x:c r="E50" s="25" t="str">
        <x:v>es-MX</x:v>
      </x:c>
      <x:c r="F50" s="25" t="n">
        <x:v>3</x:v>
      </x:c>
      <x:c r="G50" s="25" t="str">
        <x:v>product_listing|short_video_script|social_ad_copy</x:v>
      </x:c>
      <x:c r="H50" s="34" t="n">
        <x:v>0.4738</x:v>
      </x:c>
      <x:c r="I50" s="25" t="n">
        <x:v>0</x:v>
      </x:c>
      <x:c r="J50" s="40" t="n">
        <x:v>0</x:v>
      </x:c>
      <x:c r="K50" s="25" t="str">
        <x:v>offline_deterministic_demo</x:v>
      </x:c>
      <x:c r="L50" s="34" t="str">
        <x:f>IF(D50="US",SUMIF($A$5:$A$64,A50,$H$5:$H$64),"")</x:f>
      </x:c>
    </x:row>
    <x:row r="51">
      <x:c r="A51" s="25" t="n">
        <x:v>17</x:v>
      </x:c>
      <x:c r="B51" s="37" t="n">
        <x:v>46231.470826840276</x:v>
      </x:c>
      <x:c r="C51" s="25" t="str">
        <x:v>MV-SERUM-001</x:v>
      </x:c>
      <x:c r="D51" s="25" t="str">
        <x:v>MX</x:v>
      </x:c>
      <x:c r="E51" s="25" t="str">
        <x:v>es-MX</x:v>
      </x:c>
      <x:c r="F51" s="25" t="n">
        <x:v>3</x:v>
      </x:c>
      <x:c r="G51" s="25" t="str">
        <x:v>product_listing|short_video_script|social_ad_copy</x:v>
      </x:c>
      <x:c r="H51" s="34" t="n">
        <x:v>0.4793</x:v>
      </x:c>
      <x:c r="I51" s="25" t="n">
        <x:v>0</x:v>
      </x:c>
      <x:c r="J51" s="40" t="n">
        <x:v>0</x:v>
      </x:c>
      <x:c r="K51" s="25" t="str">
        <x:v>offline_deterministic_demo</x:v>
      </x:c>
      <x:c r="L51" s="34" t="str">
        <x:f>IF(D51="US",SUMIF($A$5:$A$64,A51,$H$5:$H$64),"")</x:f>
      </x:c>
    </x:row>
    <x:row r="52">
      <x:c r="A52" s="25" t="n">
        <x:v>18</x:v>
      </x:c>
      <x:c r="B52" s="37" t="n">
        <x:v>46231.47082685185</x:v>
      </x:c>
      <x:c r="C52" s="25" t="str">
        <x:v>MV-SERUM-001</x:v>
      </x:c>
      <x:c r="D52" s="25" t="str">
        <x:v>MX</x:v>
      </x:c>
      <x:c r="E52" s="25" t="str">
        <x:v>es-MX</x:v>
      </x:c>
      <x:c r="F52" s="25" t="n">
        <x:v>3</x:v>
      </x:c>
      <x:c r="G52" s="25" t="str">
        <x:v>product_listing|short_video_script|social_ad_copy</x:v>
      </x:c>
      <x:c r="H52" s="34" t="n">
        <x:v>0.5712</x:v>
      </x:c>
      <x:c r="I52" s="25" t="n">
        <x:v>0</x:v>
      </x:c>
      <x:c r="J52" s="40" t="n">
        <x:v>0</x:v>
      </x:c>
      <x:c r="K52" s="25" t="str">
        <x:v>offline_deterministic_demo</x:v>
      </x:c>
      <x:c r="L52" s="34" t="str">
        <x:f>IF(D52="US",SUMIF($A$5:$A$64,A52,$H$5:$H$64),"")</x:f>
      </x:c>
    </x:row>
    <x:row r="53">
      <x:c r="A53" s="25" t="n">
        <x:v>19</x:v>
      </x:c>
      <x:c r="B53" s="37" t="n">
        <x:v>46231.47082686343</x:v>
      </x:c>
      <x:c r="C53" s="25" t="str">
        <x:v>MV-SERUM-001</x:v>
      </x:c>
      <x:c r="D53" s="25" t="str">
        <x:v>MX</x:v>
      </x:c>
      <x:c r="E53" s="25" t="str">
        <x:v>es-MX</x:v>
      </x:c>
      <x:c r="F53" s="25" t="n">
        <x:v>3</x:v>
      </x:c>
      <x:c r="G53" s="25" t="str">
        <x:v>product_listing|short_video_script|social_ad_copy</x:v>
      </x:c>
      <x:c r="H53" s="34" t="n">
        <x:v>0.4432</x:v>
      </x:c>
      <x:c r="I53" s="25" t="n">
        <x:v>0</x:v>
      </x:c>
      <x:c r="J53" s="40" t="n">
        <x:v>0</x:v>
      </x:c>
      <x:c r="K53" s="25" t="str">
        <x:v>offline_deterministic_demo</x:v>
      </x:c>
      <x:c r="L53" s="34" t="str">
        <x:f>IF(D53="US",SUMIF($A$5:$A$64,A53,$H$5:$H$64),"")</x:f>
      </x:c>
    </x:row>
    <x:row r="54">
      <x:c r="A54" s="25" t="n">
        <x:v>20</x:v>
      </x:c>
      <x:c r="B54" s="37" t="n">
        <x:v>46231.470826875</x:v>
      </x:c>
      <x:c r="C54" s="25" t="str">
        <x:v>MV-SERUM-001</x:v>
      </x:c>
      <x:c r="D54" s="25" t="str">
        <x:v>MX</x:v>
      </x:c>
      <x:c r="E54" s="25" t="str">
        <x:v>es-MX</x:v>
      </x:c>
      <x:c r="F54" s="25" t="n">
        <x:v>3</x:v>
      </x:c>
      <x:c r="G54" s="25" t="str">
        <x:v>product_listing|short_video_script|social_ad_copy</x:v>
      </x:c>
      <x:c r="H54" s="34" t="n">
        <x:v>0.4044</x:v>
      </x:c>
      <x:c r="I54" s="25" t="n">
        <x:v>0</x:v>
      </x:c>
      <x:c r="J54" s="40" t="n">
        <x:v>0</x:v>
      </x:c>
      <x:c r="K54" s="25" t="str">
        <x:v>offline_deterministic_demo</x:v>
      </x:c>
      <x:c r="L54" s="34" t="str">
        <x:f>IF(D54="US",SUMIF($A$5:$A$64,A54,$H$5:$H$64),"")</x:f>
      </x:c>
    </x:row>
    <x:row r="55">
      <x:c r="A55" s="25" t="n">
        <x:v>21</x:v>
      </x:c>
      <x:c r="B55" s="37" t="n">
        <x:v>46231.47082688657</x:v>
      </x:c>
      <x:c r="C55" s="25" t="str">
        <x:v>MV-SERUM-001</x:v>
      </x:c>
      <x:c r="D55" s="25" t="str">
        <x:v>MX</x:v>
      </x:c>
      <x:c r="E55" s="25" t="str">
        <x:v>es-MX</x:v>
      </x:c>
      <x:c r="F55" s="25" t="n">
        <x:v>3</x:v>
      </x:c>
      <x:c r="G55" s="25" t="str">
        <x:v>product_listing|short_video_script|social_ad_copy</x:v>
      </x:c>
      <x:c r="H55" s="34" t="n">
        <x:v>0.5052</x:v>
      </x:c>
      <x:c r="I55" s="25" t="n">
        <x:v>0</x:v>
      </x:c>
      <x:c r="J55" s="40" t="n">
        <x:v>0</x:v>
      </x:c>
      <x:c r="K55" s="25" t="str">
        <x:v>offline_deterministic_demo</x:v>
      </x:c>
      <x:c r="L55" s="34" t="str">
        <x:f>IF(D55="US",SUMIF($A$5:$A$64,A55,$H$5:$H$64),"")</x:f>
      </x:c>
    </x:row>
    <x:row r="56">
      <x:c r="A56" s="25" t="n">
        <x:v>22</x:v>
      </x:c>
      <x:c r="B56" s="37" t="n">
        <x:v>46231.47082688657</x:v>
      </x:c>
      <x:c r="C56" s="25" t="str">
        <x:v>MV-SERUM-001</x:v>
      </x:c>
      <x:c r="D56" s="25" t="str">
        <x:v>MX</x:v>
      </x:c>
      <x:c r="E56" s="25" t="str">
        <x:v>es-MX</x:v>
      </x:c>
      <x:c r="F56" s="25" t="n">
        <x:v>3</x:v>
      </x:c>
      <x:c r="G56" s="25" t="str">
        <x:v>product_listing|short_video_script|social_ad_copy</x:v>
      </x:c>
      <x:c r="H56" s="34" t="n">
        <x:v>0.472</x:v>
      </x:c>
      <x:c r="I56" s="25" t="n">
        <x:v>0</x:v>
      </x:c>
      <x:c r="J56" s="40" t="n">
        <x:v>0</x:v>
      </x:c>
      <x:c r="K56" s="25" t="str">
        <x:v>offline_deterministic_demo</x:v>
      </x:c>
      <x:c r="L56" s="34" t="str">
        <x:f>IF(D56="US",SUMIF($A$5:$A$64,A56,$H$5:$H$64),"")</x:f>
      </x:c>
    </x:row>
    <x:row r="57">
      <x:c r="A57" s="25" t="n">
        <x:v>23</x:v>
      </x:c>
      <x:c r="B57" s="37" t="n">
        <x:v>46231.47082689815</x:v>
      </x:c>
      <x:c r="C57" s="25" t="str">
        <x:v>MV-SERUM-001</x:v>
      </x:c>
      <x:c r="D57" s="25" t="str">
        <x:v>MX</x:v>
      </x:c>
      <x:c r="E57" s="25" t="str">
        <x:v>es-MX</x:v>
      </x:c>
      <x:c r="F57" s="25" t="n">
        <x:v>3</x:v>
      </x:c>
      <x:c r="G57" s="25" t="str">
        <x:v>product_listing|short_video_script|social_ad_copy</x:v>
      </x:c>
      <x:c r="H57" s="34" t="n">
        <x:v>0.4574</x:v>
      </x:c>
      <x:c r="I57" s="25" t="n">
        <x:v>0</x:v>
      </x:c>
      <x:c r="J57" s="40" t="n">
        <x:v>0</x:v>
      </x:c>
      <x:c r="K57" s="25" t="str">
        <x:v>offline_deterministic_demo</x:v>
      </x:c>
      <x:c r="L57" s="34" t="str">
        <x:f>IF(D57="US",SUMIF($A$5:$A$64,A57,$H$5:$H$64),"")</x:f>
      </x:c>
    </x:row>
    <x:row r="58">
      <x:c r="A58" s="25" t="n">
        <x:v>24</x:v>
      </x:c>
      <x:c r="B58" s="37" t="n">
        <x:v>46231.470826909725</x:v>
      </x:c>
      <x:c r="C58" s="25" t="str">
        <x:v>MV-SERUM-001</x:v>
      </x:c>
      <x:c r="D58" s="25" t="str">
        <x:v>MX</x:v>
      </x:c>
      <x:c r="E58" s="25" t="str">
        <x:v>es-MX</x:v>
      </x:c>
      <x:c r="F58" s="25" t="n">
        <x:v>3</x:v>
      </x:c>
      <x:c r="G58" s="25" t="str">
        <x:v>product_listing|short_video_script|social_ad_copy</x:v>
      </x:c>
      <x:c r="H58" s="34" t="n">
        <x:v>0.4565</x:v>
      </x:c>
      <x:c r="I58" s="25" t="n">
        <x:v>0</x:v>
      </x:c>
      <x:c r="J58" s="40" t="n">
        <x:v>0</x:v>
      </x:c>
      <x:c r="K58" s="25" t="str">
        <x:v>offline_deterministic_demo</x:v>
      </x:c>
      <x:c r="L58" s="34" t="str">
        <x:f>IF(D58="US",SUMIF($A$5:$A$64,A58,$H$5:$H$64),"")</x:f>
      </x:c>
    </x:row>
    <x:row r="59">
      <x:c r="A59" s="25" t="n">
        <x:v>25</x:v>
      </x:c>
      <x:c r="B59" s="37" t="n">
        <x:v>46231.47082692129</x:v>
      </x:c>
      <x:c r="C59" s="25" t="str">
        <x:v>MV-SERUM-001</x:v>
      </x:c>
      <x:c r="D59" s="25" t="str">
        <x:v>MX</x:v>
      </x:c>
      <x:c r="E59" s="25" t="str">
        <x:v>es-MX</x:v>
      </x:c>
      <x:c r="F59" s="25" t="n">
        <x:v>3</x:v>
      </x:c>
      <x:c r="G59" s="25" t="str">
        <x:v>product_listing|short_video_script|social_ad_copy</x:v>
      </x:c>
      <x:c r="H59" s="34" t="n">
        <x:v>0.4601</x:v>
      </x:c>
      <x:c r="I59" s="25" t="n">
        <x:v>0</x:v>
      </x:c>
      <x:c r="J59" s="40" t="n">
        <x:v>0</x:v>
      </x:c>
      <x:c r="K59" s="25" t="str">
        <x:v>offline_deterministic_demo</x:v>
      </x:c>
      <x:c r="L59" s="34" t="str">
        <x:f>IF(D59="US",SUMIF($A$5:$A$64,A59,$H$5:$H$64),"")</x:f>
      </x:c>
    </x:row>
    <x:row r="60">
      <x:c r="A60" s="25" t="n">
        <x:v>26</x:v>
      </x:c>
      <x:c r="B60" s="37" t="n">
        <x:v>46231.47082693287</x:v>
      </x:c>
      <x:c r="C60" s="25" t="str">
        <x:v>MV-SERUM-001</x:v>
      </x:c>
      <x:c r="D60" s="25" t="str">
        <x:v>MX</x:v>
      </x:c>
      <x:c r="E60" s="25" t="str">
        <x:v>es-MX</x:v>
      </x:c>
      <x:c r="F60" s="25" t="n">
        <x:v>3</x:v>
      </x:c>
      <x:c r="G60" s="25" t="str">
        <x:v>product_listing|short_video_script|social_ad_copy</x:v>
      </x:c>
      <x:c r="H60" s="34" t="n">
        <x:v>0.4842</x:v>
      </x:c>
      <x:c r="I60" s="25" t="n">
        <x:v>0</x:v>
      </x:c>
      <x:c r="J60" s="40" t="n">
        <x:v>0</x:v>
      </x:c>
      <x:c r="K60" s="25" t="str">
        <x:v>offline_deterministic_demo</x:v>
      </x:c>
      <x:c r="L60" s="34" t="str">
        <x:f>IF(D60="US",SUMIF($A$5:$A$64,A60,$H$5:$H$64),"")</x:f>
      </x:c>
    </x:row>
    <x:row r="61">
      <x:c r="A61" s="25" t="n">
        <x:v>27</x:v>
      </x:c>
      <x:c r="B61" s="37" t="n">
        <x:v>46231.470826944445</x:v>
      </x:c>
      <x:c r="C61" s="25" t="str">
        <x:v>MV-SERUM-001</x:v>
      </x:c>
      <x:c r="D61" s="25" t="str">
        <x:v>MX</x:v>
      </x:c>
      <x:c r="E61" s="25" t="str">
        <x:v>es-MX</x:v>
      </x:c>
      <x:c r="F61" s="25" t="n">
        <x:v>3</x:v>
      </x:c>
      <x:c r="G61" s="25" t="str">
        <x:v>product_listing|short_video_script|social_ad_copy</x:v>
      </x:c>
      <x:c r="H61" s="34" t="n">
        <x:v>0.4973</x:v>
      </x:c>
      <x:c r="I61" s="25" t="n">
        <x:v>0</x:v>
      </x:c>
      <x:c r="J61" s="40" t="n">
        <x:v>0</x:v>
      </x:c>
      <x:c r="K61" s="25" t="str">
        <x:v>offline_deterministic_demo</x:v>
      </x:c>
      <x:c r="L61" s="34" t="str">
        <x:f>IF(D61="US",SUMIF($A$5:$A$64,A61,$H$5:$H$64),"")</x:f>
      </x:c>
    </x:row>
    <x:row r="62">
      <x:c r="A62" s="25" t="n">
        <x:v>28</x:v>
      </x:c>
      <x:c r="B62" s="37" t="n">
        <x:v>46231.47082695602</x:v>
      </x:c>
      <x:c r="C62" s="25" t="str">
        <x:v>MV-SERUM-001</x:v>
      </x:c>
      <x:c r="D62" s="25" t="str">
        <x:v>MX</x:v>
      </x:c>
      <x:c r="E62" s="25" t="str">
        <x:v>es-MX</x:v>
      </x:c>
      <x:c r="F62" s="25" t="n">
        <x:v>3</x:v>
      </x:c>
      <x:c r="G62" s="25" t="str">
        <x:v>product_listing|short_video_script|social_ad_copy</x:v>
      </x:c>
      <x:c r="H62" s="34" t="n">
        <x:v>0.5044</x:v>
      </x:c>
      <x:c r="I62" s="25" t="n">
        <x:v>0</x:v>
      </x:c>
      <x:c r="J62" s="40" t="n">
        <x:v>0</x:v>
      </x:c>
      <x:c r="K62" s="25" t="str">
        <x:v>offline_deterministic_demo</x:v>
      </x:c>
      <x:c r="L62" s="34" t="str">
        <x:f>IF(D62="US",SUMIF($A$5:$A$64,A62,$H$5:$H$64),"")</x:f>
      </x:c>
    </x:row>
    <x:row r="63">
      <x:c r="A63" s="25" t="n">
        <x:v>29</x:v>
      </x:c>
      <x:c r="B63" s="37" t="n">
        <x:v>46231.47082696759</x:v>
      </x:c>
      <x:c r="C63" s="25" t="str">
        <x:v>MV-SERUM-001</x:v>
      </x:c>
      <x:c r="D63" s="25" t="str">
        <x:v>MX</x:v>
      </x:c>
      <x:c r="E63" s="25" t="str">
        <x:v>es-MX</x:v>
      </x:c>
      <x:c r="F63" s="25" t="n">
        <x:v>3</x:v>
      </x:c>
      <x:c r="G63" s="25" t="str">
        <x:v>product_listing|short_video_script|social_ad_copy</x:v>
      </x:c>
      <x:c r="H63" s="34" t="n">
        <x:v>0.4874</x:v>
      </x:c>
      <x:c r="I63" s="25" t="n">
        <x:v>0</x:v>
      </x:c>
      <x:c r="J63" s="40" t="n">
        <x:v>0</x:v>
      </x:c>
      <x:c r="K63" s="25" t="str">
        <x:v>offline_deterministic_demo</x:v>
      </x:c>
      <x:c r="L63" s="34" t="str">
        <x:f>IF(D63="US",SUMIF($A$5:$A$64,A63,$H$5:$H$64),"")</x:f>
      </x:c>
    </x:row>
    <x:row r="64">
      <x:c r="A64" s="26" t="n">
        <x:v>30</x:v>
      </x:c>
      <x:c r="B64" s="38" t="n">
        <x:v>46231.470826979166</x:v>
      </x:c>
      <x:c r="C64" s="26" t="str">
        <x:v>MV-SERUM-001</x:v>
      </x:c>
      <x:c r="D64" s="26" t="str">
        <x:v>MX</x:v>
      </x:c>
      <x:c r="E64" s="26" t="str">
        <x:v>es-MX</x:v>
      </x:c>
      <x:c r="F64" s="26" t="n">
        <x:v>3</x:v>
      </x:c>
      <x:c r="G64" s="26" t="str">
        <x:v>product_listing|short_video_script|social_ad_copy</x:v>
      </x:c>
      <x:c r="H64" s="35" t="n">
        <x:v>0.4572</x:v>
      </x:c>
      <x:c r="I64" s="26" t="n">
        <x:v>0</x:v>
      </x:c>
      <x:c r="J64" s="41" t="n">
        <x:v>0</x:v>
      </x:c>
      <x:c r="K64" s="26" t="str">
        <x:v>offline_deterministic_demo</x:v>
      </x:c>
      <x:c r="L64" s="35" t="str">
        <x:f>IF(D64="US",SUMIF($A$5:$A$64,A64,$H$5:$H$64),"")</x:f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b49b0b0bdb9342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7.130000114440918" hidden="0" customWidth="1"/>
    <x:col min="3" max="3" width="13.25" hidden="0" customWidth="1"/>
    <x:col min="4" max="4" width="44" hidden="0" customWidth="1"/>
    <x:col min="5" max="5" width="27" hidden="0" customWidth="1"/>
    <x:col min="6" max="6" width="22" hidden="0" customWidth="1"/>
    <x:col min="7" max="7" width="20" hidden="0" customWidth="1"/>
    <x:col min="8" max="8" width="33" hidden="0" customWidth="1"/>
    <x:col min="9" max="9" width="16" hidden="0" customWidth="1"/>
    <x:col min="10" max="10" width="42" hidden="0" customWidth="1"/>
  </x:cols>
  <x:sheetData>
    <x:row r="1" ht="26" customHeight="1">
      <x:c r="A1" s="4" t="str">
        <x:v>纯人工同范围任务｜AI 情景估算（非实测）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2" customHeight="1">
      <x:c r="A3" s="8" t="str">
        <x:v>本表记录 AI 时间估算，不是专业人士现场计时。六项估算合计 179 分钟，仅用于情景分析；不得表述为实际节省时间。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>
      <x:c r="A4" s="20" t="str">
        <x:v>Market</x:v>
      </x:c>
      <x:c r="B4" s="21" t="str">
        <x:v>Language</x:v>
      </x:c>
      <x:c r="C4" s="21" t="str">
        <x:v>Content Type</x:v>
      </x:c>
      <x:c r="D4" s="21" t="str">
        <x:v>Task Scope</x:v>
      </x:c>
      <x:c r="E4" s="21" t="str">
        <x:v>Estimate Source</x:v>
      </x:c>
      <x:c r="F4" s="21" t="str">
        <x:v>Evidence Type</x:v>
      </x:c>
      <x:c r="G4" s="21" t="str">
        <x:v>AI Estimated Minutes</x:v>
      </x:c>
      <x:c r="H4" s="21" t="str">
        <x:v>Provider</x:v>
      </x:c>
      <x:c r="I4" s="21" t="str">
        <x:v>Status</x:v>
      </x:c>
      <x:c r="J4" s="22" t="str">
        <x:v>Notes</x:v>
      </x:c>
    </x:row>
    <x:row r="5">
      <x:c r="A5" s="73" t="str">
        <x:v>US</x:v>
      </x:c>
      <x:c r="B5" s="73" t="str">
        <x:v>en-US</x:v>
      </x:c>
      <x:c r="C5" s="73" t="str">
        <x:v>product_listing</x:v>
      </x:c>
      <x:c r="D5" s="73" t="str">
        <x:v>读取同一商品事实 → 独立撰写 → 自检至可提交</x:v>
      </x:c>
      <x:c r="E5" s="200" t="str">
        <x:v>AI scenario estimate</x:v>
      </x:c>
      <x:c r="F5" s="200" t="str">
        <x:v>Not human timed</x:v>
      </x:c>
      <x:c r="G5" s="201" t="n">
        <x:v>35</x:v>
      </x:c>
      <x:c r="H5" s="76" t="str">
        <x:v>AI scenario estimate</x:v>
      </x:c>
      <x:c r="I5" s="73" t="str">
        <x:f>IF(G5="","未录入","情景估算")</x:f>
        <x:v>情景估算</x:v>
      </x:c>
      <x:c r="J5" s="76" t="str">
        <x:v>AI 情景估算，非实测；假设由熟练英语营销人员完成，不使用 LocalizeFlow 或生成式 AI；包含事实梳理、1 个标题、5 个要点、描述、GMC 结构检查和最终自检。</x:v>
      </x:c>
    </x:row>
    <x:row r="6">
      <x:c r="A6" s="77" t="str">
        <x:v>US</x:v>
      </x:c>
      <x:c r="B6" s="77" t="str">
        <x:v>en-US</x:v>
      </x:c>
      <x:c r="C6" s="77" t="str">
        <x:v>short_video_script</x:v>
      </x:c>
      <x:c r="D6" s="77" t="str">
        <x:v>读取同一商品事实 → 独立撰写 → 自检至可提交</x:v>
      </x:c>
      <x:c r="E6" s="202" t="str">
        <x:v>AI scenario estimate</x:v>
      </x:c>
      <x:c r="F6" s="202" t="str">
        <x:v>Not human timed</x:v>
      </x:c>
      <x:c r="G6" s="203" t="n">
        <x:v>25</x:v>
      </x:c>
      <x:c r="H6" s="80" t="str">
        <x:v>AI scenario estimate</x:v>
      </x:c>
      <x:c r="I6" s="77" t="str">
        <x:f>IF(G6="","未录入","情景估算")</x:f>
        <x:v>情景估算</x:v>
      </x:c>
      <x:c r="J6" s="80" t="str">
        <x:v>AI 情景估算，非实测；包含 15 秒分镜、Hook、旁白、屏显、CTA、Caption、TikTok 规则核对和事实自检；不使用生成式 AI。</x:v>
      </x:c>
    </x:row>
    <x:row r="7">
      <x:c r="A7" s="77" t="str">
        <x:v>US</x:v>
      </x:c>
      <x:c r="B7" s="77" t="str">
        <x:v>en-US</x:v>
      </x:c>
      <x:c r="C7" s="77" t="str">
        <x:v>social_ad_copy</x:v>
      </x:c>
      <x:c r="D7" s="77" t="str">
        <x:v>读取同一商品事实 → 独立撰写 → 自检至可提交</x:v>
      </x:c>
      <x:c r="E7" s="202" t="str">
        <x:v>AI scenario estimate</x:v>
      </x:c>
      <x:c r="F7" s="202" t="str">
        <x:v>Not human timed</x:v>
      </x:c>
      <x:c r="G7" s="203" t="n">
        <x:v>18</x:v>
      </x:c>
      <x:c r="H7" s="80" t="str">
        <x:v>AI scenario estimate</x:v>
      </x:c>
      <x:c r="I7" s="77" t="str">
        <x:f>IF(G7="","未录入","情景估算")</x:f>
        <x:v>情景估算</x:v>
      </x:c>
      <x:c r="J7" s="80" t="str">
        <x:v>AI 情景估算，非实测；包含 Hook、Body、CTA、品牌语气、平台适配和事实自检；不使用生成式 AI。</x:v>
      </x:c>
    </x:row>
    <x:row r="8">
      <x:c r="A8" s="77" t="str">
        <x:v>MX</x:v>
      </x:c>
      <x:c r="B8" s="77" t="str">
        <x:v>es-MX</x:v>
      </x:c>
      <x:c r="C8" s="77" t="str">
        <x:v>product_listing</x:v>
      </x:c>
      <x:c r="D8" s="77" t="str">
        <x:v>读取同一商品事实 → 独立撰写 → 自检至可提交</x:v>
      </x:c>
      <x:c r="E8" s="202" t="str">
        <x:v>AI scenario estimate</x:v>
      </x:c>
      <x:c r="F8" s="202" t="str">
        <x:v>Not human timed</x:v>
      </x:c>
      <x:c r="G8" s="203" t="n">
        <x:v>45</x:v>
      </x:c>
      <x:c r="H8" s="80" t="str">
        <x:v>AI scenario estimate</x:v>
      </x:c>
      <x:c r="I8" s="77" t="str">
        <x:f>IF(G8="","未录入","情景估算")</x:f>
        <x:v>情景估算</x:v>
      </x:c>
      <x:c r="J8" s="80" t="str">
        <x:v>AI 情景估算，非实测；假设由熟练双语内容运营人员完成，可查阅常规词典和平台规范，不使用机器翻译或生成式 AI；包含墨西哥西语本地化、术语、Listing 结构和事实自检。</x:v>
      </x:c>
    </x:row>
    <x:row r="9">
      <x:c r="A9" s="77" t="str">
        <x:v>MX</x:v>
      </x:c>
      <x:c r="B9" s="77" t="str">
        <x:v>es-MX</x:v>
      </x:c>
      <x:c r="C9" s="77" t="str">
        <x:v>short_video_script</x:v>
      </x:c>
      <x:c r="D9" s="77" t="str">
        <x:v>读取同一商品事实 → 独立撰写 → 自检至可提交</x:v>
      </x:c>
      <x:c r="E9" s="202" t="str">
        <x:v>AI scenario estimate</x:v>
      </x:c>
      <x:c r="F9" s="202" t="str">
        <x:v>Not human timed</x:v>
      </x:c>
      <x:c r="G9" s="203" t="n">
        <x:v>32</x:v>
      </x:c>
      <x:c r="H9" s="80" t="str">
        <x:v>AI scenario estimate</x:v>
      </x:c>
      <x:c r="I9" s="77" t="str">
        <x:f>IF(G9="","未录入","情景估算")</x:f>
        <x:v>情景估算</x:v>
      </x:c>
      <x:c r="J9" s="80" t="str">
        <x:v>AI 情景估算，非实测；假设由熟练双语内容运营人员完成，可查阅常规词典和平台规范，不使用机器翻译或生成式 AI；包含 15 秒分镜、墨西哥西语语气、CTA、Caption 和自检。</x:v>
      </x:c>
    </x:row>
    <x:row r="10">
      <x:c r="A10" s="81" t="str">
        <x:v>MX</x:v>
      </x:c>
      <x:c r="B10" s="81" t="str">
        <x:v>es-MX</x:v>
      </x:c>
      <x:c r="C10" s="81" t="str">
        <x:v>social_ad_copy</x:v>
      </x:c>
      <x:c r="D10" s="81" t="str">
        <x:v>读取同一商品事实 → 独立撰写 → 自检至可提交</x:v>
      </x:c>
      <x:c r="E10" s="204" t="str">
        <x:v>AI scenario estimate</x:v>
      </x:c>
      <x:c r="F10" s="204" t="str">
        <x:v>Not human timed</x:v>
      </x:c>
      <x:c r="G10" s="205" t="n">
        <x:v>24</x:v>
      </x:c>
      <x:c r="H10" s="84" t="str">
        <x:v>AI scenario estimate</x:v>
      </x:c>
      <x:c r="I10" s="81" t="str">
        <x:f>IF(G10="","未录入","情景估算")</x:f>
        <x:v>情景估算</x:v>
      </x:c>
      <x:c r="J10" s="84" t="str">
        <x:v>AI 情景估算，非实测；假设由熟练双语内容运营人员完成，可查阅常规词典和平台规范，不使用机器翻译或生成式 AI；包含 Hook、Body、CTA、本地化语气和事实自检。</x:v>
      </x:c>
    </x:row>
    <x:row r="12" ht="10" customHeight="1"/>
    <x:row r="13">
      <x:c r="A13" s="87" t="str">
        <x:v>估算口径：从相同商品事实独立撰写，包含英/西语调整、平台结构适配和自检，不含休息。该口径和分钟数均为 AI 情景假设，不构成人工实测证据。</x:v>
      </x:c>
      <x:c r="B13" s="87"/>
      <x:c r="C13" s="87"/>
      <x:c r="D13" s="87"/>
      <x:c r="E13" s="87"/>
      <x:c r="F13" s="87"/>
      <x:c r="G13" s="87"/>
      <x:c r="H13" s="87"/>
      <x:c r="I13" s="87"/>
      <x:c r="J13" s="87"/>
    </x:row>
  </x:sheetData>
  <x:mergeCells>
    <x:mergeCell ref="A1:J2"/>
    <x:mergeCell ref="A3:J3"/>
    <x:mergeCell ref="A13:J13"/>
  </x:mergeCells>
  <x:conditionalFormatting sqref="I5:I10">
    <x:cfRule type="containsText" dxfId="2" priority="1" operator="containsText" text="待实测"/>
    <x:cfRule type="containsText" dxfId="3" priority="2" operator="containsText" text="已记录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4" hidden="0" customWidth="1"/>
    <x:col min="3" max="3" width="6.5" hidden="0" customWidth="1"/>
    <x:col min="4" max="4" width="45" hidden="0" customWidth="1"/>
    <x:col min="5" max="5" width="11" hidden="0" customWidth="1"/>
    <x:col min="6" max="6" width="48" hidden="0" customWidth="1"/>
  </x:cols>
  <x:sheetData>
    <x:row r="1" ht="26" customHeight="1">
      <x:c r="A1" s="4" t="str">
        <x:v>业务价值指标口径与来源</x:v>
      </x:c>
      <x:c r="B1" s="4"/>
      <x:c r="C1" s="4"/>
      <x:c r="D1" s="4"/>
      <x:c r="E1" s="4"/>
      <x:c r="F1" s="4"/>
    </x:row>
    <x:row r="2" ht="20" customHeight="1">
      <x:c r="A2" s="4"/>
      <x:c r="B2" s="4"/>
      <x:c r="C2" s="4"/>
      <x:c r="D2" s="4"/>
      <x:c r="E2" s="4"/>
      <x:c r="F2" s="4"/>
    </x:row>
    <x:row r="3" ht="32" customHeight="1">
      <x:c r="A3" s="8" t="str">
        <x:v>实际指标追溯至盲评记录或系统日志；完整生产时间与节省率使用 AI 情景估算，证据性质和限制必须同时披露。</x:v>
      </x:c>
      <x:c r="B3" s="8"/>
      <x:c r="C3" s="8"/>
      <x:c r="D3" s="8"/>
      <x:c r="E3" s="8"/>
      <x:c r="F3" s="8"/>
    </x:row>
    <x:row r="4">
      <x:c r="A4" s="20" t="str">
        <x:v>Metric</x:v>
      </x:c>
      <x:c r="B4" s="21" t="str">
        <x:v>Operational Definition</x:v>
      </x:c>
      <x:c r="C4" s="21" t="str">
        <x:v>Unit</x:v>
      </x:c>
      <x:c r="D4" s="21" t="str">
        <x:v>Primary Source</x:v>
      </x:c>
      <x:c r="E4" s="21" t="str">
        <x:v>Sample</x:v>
      </x:c>
      <x:c r="F4" s="22" t="str">
        <x:v>Limitation</x:v>
      </x:c>
    </x:row>
    <x:row r="5" ht="42" customHeight="1">
      <x:c r="A5" s="88" t="str">
        <x:v>完整生产时间节省率</x:v>
      </x:c>
      <x:c r="B5" s="88" t="str">
        <x:v>1 - (LocalizeFlow 本地组装耗时 + LocalizeFlow 人工复核时间) / 纯人工同范围完成时间</x:v>
      </x:c>
      <x:c r="C5" s="88" t="str">
        <x:v>%</x:v>
      </x:c>
      <x:c r="D5" s="88" t="str">
        <x:v>Manual Timing (AI scenario) + System Timing + Evaluation Records</x:v>
      </x:c>
      <x:c r="E5" s="88" t="str">
        <x:v>1 SKU / 6 输出</x:v>
      </x:c>
      <x:c r="F5" s="88" t="str">
        <x:v>纯人工时间为 AI 情景估算，非专业人士现场实测；84.4% 只能作为情景结果，不能写成已验证效率提升。</x:v>
      </x:c>
    </x:row>
    <x:row r="6" ht="42" customHeight="1">
      <x:c r="A6" s="89" t="str">
        <x:v>复核时间降幅</x:v>
      </x:c>
      <x:c r="B6" s="89" t="str">
        <x:v>1 - LocalizeFlow 平均 Review Minutes / Baseline 平均 Review Minutes</x:v>
      </x:c>
      <x:c r="C6" s="89" t="str">
        <x:v>%</x:v>
      </x:c>
      <x:c r="D6" s="89" t="str">
        <x:v>human_evaluation_scored_revealed.xlsx / Blind Review</x:v>
      </x:c>
      <x:c r="E6" s="89" t="str">
        <x:v>每版本 n=6</x:v>
      </x:c>
      <x:c r="F6" s="89" t="str">
        <x:v>单一评审人；这是复核效率，不等于完整生产时间。</x:v>
      </x:c>
    </x:row>
    <x:row r="7" ht="42" customHeight="1">
      <x:c r="A7" s="89" t="str">
        <x:v>一次生成可用率</x:v>
      </x:c>
      <x:c r="B7" s="89" t="str">
        <x:v>Fact Pass + 自动平台通过 + 自动术语通过 + Publishability≥3 + Modification Count≤1</x:v>
      </x:c>
      <x:c r="C7" s="89" t="str">
        <x:v>%</x:v>
      </x:c>
      <x:c r="D7" s="89" t="str">
        <x:v>Evaluation Records</x:v>
      </x:c>
      <x:c r="E7" s="89" t="str">
        <x:v>每版本 n=6</x:v>
      </x:c>
      <x:c r="F7" s="89" t="str">
        <x:v>项目内操作性定义，不是平台批准率。</x:v>
      </x:c>
    </x:row>
    <x:row r="8" ht="42" customHeight="1">
      <x:c r="A8" s="89" t="str">
        <x:v>事实错误率</x:v>
      </x:c>
      <x:c r="B8" s="89" t="str">
        <x:v>Fact Accuracy=Fail / 候选数</x:v>
      </x:c>
      <x:c r="C8" s="89" t="str">
        <x:v>%</x:v>
      </x:c>
      <x:c r="D8" s="89" t="str">
        <x:v>human_evaluation_scored_revealed.xlsx / Blind Review</x:v>
      </x:c>
      <x:c r="E8" s="89" t="str">
        <x:v>每版本 n=6</x:v>
      </x:c>
      <x:c r="F8" s="89" t="str">
        <x:v>事实判断来自一位评审人。</x:v>
      </x:c>
    </x:row>
    <x:row r="9" ht="42" customHeight="1">
      <x:c r="A9" s="89" t="str">
        <x:v>平台规则通过率</x:v>
      </x:c>
      <x:c r="B9" s="89" t="str">
        <x:v>当前 Demo 中所有 platform 类检查均为 pass</x:v>
      </x:c>
      <x:c r="C9" s="89" t="str">
        <x:v>%</x:v>
      </x:c>
      <x:c r="D9" s="89" t="str">
        <x:v>src/demo_service.py / evaluate_text</x:v>
      </x:c>
      <x:c r="E9" s="89" t="str">
        <x:v>每版本 n=6</x:v>
      </x:c>
      <x:c r="F9" s="89" t="str">
        <x:v>本地预检，不代表真实平台审核。</x:v>
      </x:c>
    </x:row>
    <x:row r="10" ht="42" customHeight="1">
      <x:c r="A10" s="89" t="str">
        <x:v>术语一致率</x:v>
      </x:c>
      <x:c r="B10" s="89" t="str">
        <x:v>当前 Demo 的“术语一致性”检查为 pass</x:v>
      </x:c>
      <x:c r="C10" s="89" t="str">
        <x:v>%</x:v>
      </x:c>
      <x:c r="D10" s="89" t="str">
        <x:v>src/demo_service.py / evaluate_text</x:v>
      </x:c>
      <x:c r="E10" s="89" t="str">
        <x:v>每版本 n=6</x:v>
      </x:c>
      <x:c r="F10" s="89" t="str">
        <x:v>小型规则集，仅覆盖已编码术语问题。</x:v>
      </x:c>
    </x:row>
    <x:row r="11" ht="42" customHeight="1">
      <x:c r="A11" s="89" t="str">
        <x:v>平均修改次数</x:v>
      </x:c>
      <x:c r="B11" s="89" t="str">
        <x:v>盲评记录的 Modification Count 平均值</x:v>
      </x:c>
      <x:c r="C11" s="89" t="str">
        <x:v>次/候选</x:v>
      </x:c>
      <x:c r="D11" s="89" t="str">
        <x:v>human_evaluation_scored_revealed.xlsx / Blind Review</x:v>
      </x:c>
      <x:c r="E11" s="89" t="str">
        <x:v>每版本 n=6</x:v>
      </x:c>
      <x:c r="F11" s="89" t="str">
        <x:v>评审记录值，不是产品埋点。</x:v>
      </x:c>
    </x:row>
    <x:row r="12" ht="42" customHeight="1">
      <x:c r="A12" s="90" t="str">
        <x:v>单 SKU API 成本</x:v>
      </x:c>
      <x:c r="B12" s="90" t="str">
        <x:v>本次模型 API 实际调用费用之和</x:v>
      </x:c>
      <x:c r="C12" s="90" t="str">
        <x:v>CNY/SKU</x:v>
      </x:c>
      <x:c r="D12" s="90" t="str">
        <x:v>System Timing</x:v>
      </x:c>
      <x:c r="E12" s="90" t="str">
        <x:v>60 次市场调用</x:v>
      </x:c>
      <x:c r="F12" s="90" t="str">
        <x:v>离线模板模式为 0；不能外推到在线模型。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c44aed508e94ab6"/>
  </x:tableParts>
</x:worksheet>
</file>