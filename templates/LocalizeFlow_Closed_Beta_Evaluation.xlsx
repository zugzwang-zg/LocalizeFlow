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d3a4526bd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259c7f3d04b460b"/>
    <x:sheet xmlns:r="http://schemas.openxmlformats.org/officeDocument/2006/relationships" name="Tasks" sheetId="2" r:id="R98d94bb5a2ce45ed"/>
    <x:sheet xmlns:r="http://schemas.openxmlformats.org/officeDocument/2006/relationships" name="Reviews" sheetId="3" r:id="R9be76d800c054977"/>
    <x:sheet xmlns:r="http://schemas.openxmlformats.org/officeDocument/2006/relationships" name="Interviews" sheetId="4" r:id="R7c837fbf702e401d"/>
    <x:sheet xmlns:r="http://schemas.openxmlformats.org/officeDocument/2006/relationships" name="Dashboard" sheetId="5" r:id="Rdf01705304da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"/>
    <x:numFmt numFmtId="202" formatCode="0"/>
    <x:numFmt numFmtId="203" formatCode="yyyy-mm-dd"/>
    <x:numFmt numFmtId="204" formatCode="0.0%"/>
  </x:numFmts>
  <x:fonts count="6">
    <x:font>
      <x:sz val="11"/>
      <x:name val="Carlito"/>
    </x:font>
    <x:font>
      <x:b/>
      <x:sz val="19"/>
      <x:color rgb="FFFFFFFF"/>
      <x:name val="Carlito"/>
    </x:font>
    <x:font>
      <x:b/>
      <x:sz val="12"/>
      <x:color rgb="FF092F2B"/>
      <x:name val="Carlito"/>
    </x:font>
    <x:font>
      <x:b/>
      <x:sz val="11"/>
      <x:color rgb="FFFFFFFF"/>
      <x:name val="Carlito"/>
    </x:font>
    <x:font>
      <x:b/>
      <x:sz val="11"/>
      <x:color rgb="FF1F6E63"/>
      <x:name val="Carlito"/>
    </x:font>
    <x:font>
      <x:b/>
      <x:sz val="11"/>
      <x:color rgb="FF092F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92F2B"/>
      </x:patternFill>
    </x:fill>
    <x:fill>
      <x:patternFill patternType="solid">
        <x:fgColor rgb="FFDCEFE7"/>
      </x:patternFill>
    </x:fill>
    <x:fill>
      <x:patternFill patternType="solid">
        <x:fgColor rgb="FF1F6E63"/>
      </x:patternFill>
    </x:fill>
    <x:fill>
      <x:patternFill patternType="solid">
        <x:fgColor rgb="FFF6F2E8"/>
      </x:patternFill>
    </x:fill>
    <x:fill>
      <x:patternFill patternType="solid">
        <x:fgColor rgb="FFFFFDF8"/>
      </x:patternFill>
    </x:fill>
    <x:fill>
      <x:patternFill patternType="solid">
        <x:fgColor rgb="FFF8E3AE"/>
      </x:patternFill>
    </x:fill>
  </x:fills>
  <x:borders count="24">
    <x:border/>
    <x:border>
      <x:right style="thin">
        <x:color rgb="FF84A89F"/>
      </x:right>
    </x:border>
    <x:border>
      <x:left style="thin">
        <x:color rgb="FF84A89F"/>
      </x:left>
    </x:border>
    <x:border>
      <x:bottom style="thin">
        <x:color rgb="FFB9C8C1"/>
      </x:bottom>
    </x:border>
    <x:border>
      <x:top style="thin">
        <x:color rgb="FFB9C8C1"/>
      </x:top>
      <x:bottom style="thin">
        <x:color rgb="FFB9C8C1"/>
      </x:bottom>
    </x:border>
    <x:border>
      <x:top style="thin">
        <x:color rgb="FFB9C8C1"/>
      </x:top>
    </x:border>
    <x:border>
      <x:left style="thin">
        <x:color rgb="FF84A89F"/>
      </x:left>
      <x:right style="thin">
        <x:color rgb="FF84A89F"/>
      </x:right>
    </x:border>
    <x:border>
      <x:right style="thin">
        <x:color rgb="FFB9C8C1"/>
      </x:right>
      <x:bottom style="thin">
        <x:color rgb="FFB9C8C1"/>
      </x:bottom>
    </x:border>
    <x:border>
      <x:left style="thin">
        <x:color rgb="FFB9C8C1"/>
      </x:left>
      <x:right style="thin">
        <x:color rgb="FFB9C8C1"/>
      </x:right>
      <x:bottom style="thin">
        <x:color rgb="FFB9C8C1"/>
      </x:bottom>
    </x:border>
    <x:border>
      <x:left style="thin">
        <x:color rgb="FFB9C8C1"/>
      </x:left>
      <x:bottom style="thin">
        <x:color rgb="FFB9C8C1"/>
      </x:bottom>
    </x:border>
    <x:border>
      <x:right style="thin">
        <x:color rgb="FFB9C8C1"/>
      </x:right>
      <x:top style="thin">
        <x:color rgb="FFB9C8C1"/>
      </x:top>
      <x:bottom style="thin">
        <x:color rgb="FFB9C8C1"/>
      </x:bottom>
    </x:border>
    <x:border>
      <x:left style="thin">
        <x:color rgb="FFB9C8C1"/>
      </x:left>
      <x:right style="thin">
        <x:color rgb="FFB9C8C1"/>
      </x:right>
      <x:top style="thin">
        <x:color rgb="FFB9C8C1"/>
      </x:top>
      <x:bottom style="thin">
        <x:color rgb="FFB9C8C1"/>
      </x:bottom>
    </x:border>
    <x:border>
      <x:left style="thin">
        <x:color rgb="FFB9C8C1"/>
      </x:left>
      <x:top style="thin">
        <x:color rgb="FFB9C8C1"/>
      </x:top>
      <x:bottom style="thin">
        <x:color rgb="FFB9C8C1"/>
      </x:bottom>
    </x:border>
    <x:border>
      <x:right style="thin">
        <x:color rgb="FFB9C8C1"/>
      </x:right>
      <x:top style="thin">
        <x:color rgb="FFB9C8C1"/>
      </x:top>
    </x:border>
    <x:border>
      <x:left style="thin">
        <x:color rgb="FFB9C8C1"/>
      </x:left>
      <x:right style="thin">
        <x:color rgb="FFB9C8C1"/>
      </x:right>
      <x:top style="thin">
        <x:color rgb="FFB9C8C1"/>
      </x:top>
    </x:border>
    <x:border>
      <x:left style="thin">
        <x:color rgb="FFB9C8C1"/>
      </x:left>
      <x:top style="thin">
        <x:color rgb="FFB9C8C1"/>
      </x:top>
    </x:border>
    <x:border>
      <x:left style="thin">
        <x:color rgb="FFD0A84F"/>
      </x:left>
      <x:top style="thin">
        <x:color rgb="FFD0A84F"/>
      </x:top>
    </x:border>
    <x:border>
      <x:top style="thin">
        <x:color rgb="FFD0A84F"/>
      </x:top>
    </x:border>
    <x:border>
      <x:right style="thin">
        <x:color rgb="FFD0A84F"/>
      </x:right>
      <x:top style="thin">
        <x:color rgb="FFD0A84F"/>
      </x:top>
    </x:border>
    <x:border>
      <x:left style="thin">
        <x:color rgb="FFD0A84F"/>
      </x:left>
    </x:border>
    <x:border>
      <x:right style="thin">
        <x:color rgb="FFD0A84F"/>
      </x:right>
    </x:border>
    <x:border>
      <x:left style="thin">
        <x:color rgb="FFD0A84F"/>
      </x:left>
      <x:bottom style="thin">
        <x:color rgb="FFD0A84F"/>
      </x:bottom>
    </x:border>
    <x:border>
      <x:bottom style="thin">
        <x:color rgb="FFD0A84F"/>
      </x:bottom>
    </x:border>
    <x:border>
      <x:right style="thin">
        <x:color rgb="FFD0A84F"/>
      </x:right>
      <x:bottom style="thin">
        <x:color rgb="FFD0A84F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7" xfId="0" applyNumberFormat="1" applyFont="1" applyFill="1" applyBorder="1" applyAlignment="1">
      <x:alignment vertical="top"/>
    </x:xf>
    <x:xf numFmtId="0" fontId="0" fillId="6" borderId="8" xfId="0" applyNumberFormat="1" applyFont="1" applyFill="1" applyBorder="1" applyAlignment="1">
      <x:alignment vertical="top"/>
    </x:xf>
    <x:xf numFmtId="0" fontId="0" fillId="6" borderId="9" xfId="0" applyNumberFormat="1" applyFont="1" applyFill="1" applyBorder="1" applyAlignment="1">
      <x:alignment vertical="top"/>
    </x:xf>
    <x:xf numFmtId="0" fontId="0" fillId="6" borderId="10" xfId="0" applyNumberFormat="1" applyFont="1" applyFill="1" applyBorder="1" applyAlignment="1">
      <x:alignment vertical="top"/>
    </x:xf>
    <x:xf numFmtId="0" fontId="0" fillId="6" borderId="11" xfId="0" applyNumberFormat="1" applyFont="1" applyFill="1" applyBorder="1" applyAlignment="1">
      <x:alignment vertical="top"/>
    </x:xf>
    <x:xf numFmtId="0" fontId="0" fillId="6" borderId="12" xfId="0" applyNumberFormat="1" applyFont="1" applyFill="1" applyBorder="1" applyAlignment="1">
      <x:alignment vertical="top"/>
    </x:xf>
    <x:xf numFmtId="0" fontId="0" fillId="6" borderId="13" xfId="0" applyNumberFormat="1" applyFont="1" applyFill="1" applyBorder="1" applyAlignment="1">
      <x:alignment vertical="top"/>
    </x:xf>
    <x:xf numFmtId="0" fontId="0" fillId="6" borderId="14" xfId="0" applyNumberFormat="1" applyFont="1" applyFill="1" applyBorder="1" applyAlignment="1">
      <x:alignment vertical="top"/>
    </x:xf>
    <x:xf numFmtId="0" fontId="0" fillId="6" borderId="15" xfId="0" applyNumberFormat="1" applyFont="1" applyFill="1" applyBorder="1" applyAlignment="1">
      <x:alignment vertical="top"/>
    </x:xf>
    <x:xf numFmtId="200" fontId="0" fillId="6" borderId="8" xfId="0" applyNumberFormat="1" applyFont="1" applyFill="1" applyBorder="1" applyAlignment="1">
      <x:alignment vertical="top"/>
    </x:xf>
    <x:xf numFmtId="200" fontId="0" fillId="6" borderId="11" xfId="0" applyNumberFormat="1" applyFont="1" applyFill="1" applyBorder="1" applyAlignment="1">
      <x:alignment vertical="top"/>
    </x:xf>
    <x:xf numFmtId="200" fontId="0" fillId="6" borderId="14" xfId="0" applyNumberFormat="1" applyFont="1" applyFill="1" applyBorder="1" applyAlignment="1">
      <x:alignment vertical="top"/>
    </x:xf>
    <x:xf numFmtId="201" fontId="0" fillId="6" borderId="8" xfId="0" applyNumberFormat="1" applyFont="1" applyFill="1" applyBorder="1" applyAlignment="1">
      <x:alignment vertical="top"/>
    </x:xf>
    <x:xf numFmtId="201" fontId="0" fillId="6" borderId="11" xfId="0" applyNumberFormat="1" applyFont="1" applyFill="1" applyBorder="1" applyAlignment="1">
      <x:alignment vertical="top"/>
    </x:xf>
    <x:xf numFmtId="201" fontId="0" fillId="6" borderId="14" xfId="0" applyNumberFormat="1" applyFont="1" applyFill="1" applyBorder="1" applyAlignment="1">
      <x:alignment vertical="top"/>
    </x:xf>
    <x:xf numFmtId="202" fontId="0" fillId="6" borderId="8" xfId="0" applyNumberFormat="1" applyFont="1" applyFill="1" applyBorder="1" applyAlignment="1">
      <x:alignment vertical="top"/>
    </x:xf>
    <x:xf numFmtId="202" fontId="0" fillId="6" borderId="11" xfId="0" applyNumberFormat="1" applyFont="1" applyFill="1" applyBorder="1" applyAlignment="1">
      <x:alignment vertical="top"/>
    </x:xf>
    <x:xf numFmtId="202" fontId="0" fillId="6" borderId="14" xfId="0" applyNumberFormat="1" applyFont="1" applyFill="1" applyBorder="1" applyAlignment="1">
      <x:alignment vertical="top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203" fontId="0" fillId="6" borderId="8" xfId="0" applyNumberFormat="1" applyFont="1" applyFill="1" applyBorder="1" applyAlignment="1">
      <x:alignment vertical="top" wrapText="1"/>
    </x:xf>
    <x:xf numFmtId="203" fontId="0" fillId="6" borderId="11" xfId="0" applyNumberFormat="1" applyFont="1" applyFill="1" applyBorder="1" applyAlignment="1">
      <x:alignment vertical="top" wrapText="1"/>
    </x:xf>
    <x:xf numFmtId="203" fontId="0" fillId="6" borderId="14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/>
    <x:xf numFmtId="0" fontId="5" fillId="6" borderId="10" xfId="0" applyNumberFormat="1" applyFont="1" applyFill="1" applyBorder="1"/>
    <x:xf numFmtId="0" fontId="5" fillId="6" borderId="13" xfId="0" applyNumberFormat="1" applyFont="1" applyFill="1" applyBorder="1"/>
    <x:xf numFmtId="201" fontId="0" fillId="6" borderId="12" xfId="0" applyNumberFormat="1" applyFont="1" applyFill="1" applyBorder="1"/>
    <x:xf numFmtId="204" fontId="0" fillId="6" borderId="15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19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20" xfId="0" applyNumberFormat="1" applyFont="1" applyFill="1" applyBorder="1" applyAlignment="1">
      <x:alignment wrapText="1"/>
    </x:xf>
    <x:xf numFmtId="0" fontId="0" fillId="7" borderId="21" xfId="0" applyNumberFormat="1" applyFont="1" applyFill="1" applyBorder="1" applyAlignment="1">
      <x:alignment wrapText="1"/>
    </x:xf>
    <x:xf numFmtId="0" fontId="0" fillId="7" borderId="22" xfId="0" applyNumberFormat="1" applyFont="1" applyFill="1" applyBorder="1" applyAlignment="1">
      <x:alignment wrapText="1"/>
    </x:xf>
    <x:xf numFmtId="0" fontId="0" fillId="7" borderId="23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vertical="center" wrapText="1"/>
    </x:xf>
    <x:xf numFmtId="0" fontId="0" fillId="7" borderId="17" xfId="0" applyNumberFormat="1" applyFont="1" applyFill="1" applyBorder="1" applyAlignment="1">
      <x:alignment vertical="center" wrapText="1"/>
    </x:xf>
    <x:xf numFmtId="0" fontId="0" fillId="7" borderId="18" xfId="0" applyNumberFormat="1" applyFont="1" applyFill="1" applyBorder="1" applyAlignment="1">
      <x:alignment vertical="center" wrapText="1"/>
    </x:xf>
    <x:xf numFmtId="0" fontId="0" fillId="7" borderId="1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20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0" fillId="7" borderId="22" xfId="0" applyNumberFormat="1" applyFont="1" applyFill="1" applyBorder="1" applyAlignment="1">
      <x:alignment vertical="center" wrapText="1"/>
    </x:xf>
    <x:xf numFmtId="0" fontId="0" fillId="7" borderId="2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F6E63"/>
      </x:font>
      <x:fill>
        <x:patternFill patternType="solid">
          <x:bgColor rgb="FFDCEFE7"/>
        </x:patternFill>
      </x:fill>
    </x:dxf>
    <x:dxf>
      <x:font>
        <x:b/>
        <x:color rgb="FF842B23"/>
      </x:font>
      <x:fill>
        <x:patternFill patternType="solid">
          <x:bgColor rgb="FFF5D2CD"/>
        </x:patternFill>
      </x:fill>
    </x:dxf>
    <x:dxf>
      <x:font>
        <x:b/>
        <x:color rgb="FF842B23"/>
      </x:font>
      <x:fill>
        <x:patternFill patternType="solid">
          <x:bgColor rgb="FFF5D2CD"/>
        </x:patternFill>
      </x:fill>
    </x:dxf>
    <x:dxf>
      <x:font>
        <x:b/>
        <x:color rgb="FF1F6E63"/>
      </x:font>
      <x:fill>
        <x:patternFill patternType="solid">
          <x:bgColor rgb="FFDCEFE7"/>
        </x:patternFill>
      </x:fill>
    </x:dxf>
    <x:dxf>
      <x:font>
        <x:b/>
        <x:color rgb="FF842B23"/>
      </x:font>
      <x:fill>
        <x:patternFill patternType="solid">
          <x:bgColor rgb="FFF5D2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b3229e9714514" /><Relationship Type="http://schemas.openxmlformats.org/officeDocument/2006/relationships/theme" Target="/xl/theme/theme1.xml" Id="R93e091bff2984ac3" /><Relationship Type="http://schemas.openxmlformats.org/officeDocument/2006/relationships/sharedStrings" Target="/xl/sharedStrings.xml" Id="R8c80abfb3d2c4a2d" /><Relationship Type="http://schemas.openxmlformats.org/officeDocument/2006/relationships/worksheet" Target="/xl/worksheets/sheet1.xml" Id="Rc259c7f3d04b460b" /><Relationship Type="http://schemas.openxmlformats.org/officeDocument/2006/relationships/worksheet" Target="/xl/worksheets/sheet2.xml" Id="R98d94bb5a2ce45ed" /><Relationship Type="http://schemas.openxmlformats.org/officeDocument/2006/relationships/worksheet" Target="/xl/worksheets/sheet3.xml" Id="R9be76d800c054977" /><Relationship Type="http://schemas.openxmlformats.org/officeDocument/2006/relationships/worksheet" Target="/xl/worksheets/sheet4.xml" Id="R7c837fbf702e401d" /><Relationship Type="http://schemas.openxmlformats.org/officeDocument/2006/relationships/worksheet" Target="/xl/worksheets/sheet5.xml" Id="Rdf01705304da40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2" hidden="0" customWidth="1"/>
  </x:cols>
  <x:sheetData>
    <x:row r="1">
      <x:c r="A1" s="3" t="str">
        <x:v>LocalizeFlow · Closed Beta Evaluation Ledger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真实资料不写入本工作簿；只记录匿名 ID、计时、评分、错误类别与引用编号。</x:v>
      </x:c>
      <x:c r="B4" s="5"/>
      <x:c r="C4" s="5"/>
      <x:c r="D4" s="5"/>
      <x:c r="E4" s="5"/>
      <x:c r="F4" s="5"/>
      <x:c r="G4" s="5"/>
      <x:c r="H4" s="5"/>
    </x:row>
    <x:row r="6">
      <x:c r="A6" s="12" t="str">
        <x:v>顺序</x:v>
      </x:c>
      <x:c r="B6" s="13" t="str">
        <x:v>规则</x:v>
      </x:c>
    </x:row>
    <x:row r="7" ht="34" customHeight="1">
      <x:c r="A7" s="16" t="n">
        <x:v>1</x:v>
      </x:c>
      <x:c r="B7" s="24" t="str">
        <x:v>在 Tasks 中先记录纯人工 Baseline，再记录 LocalizeFlow 任务；时间使用真实 Excel 日期时间。</x:v>
      </x:c>
    </x:row>
    <x:row r="8" ht="34" customHeight="1">
      <x:c r="A8" s="16" t="n">
        <x:v>2</x:v>
      </x:c>
      <x:c r="B8" s="25" t="str">
        <x:v>每个任务至少两名独立目标语言评审者；评审前不得共享评分或候选身份。</x:v>
      </x:c>
    </x:row>
    <x:row r="9" ht="34" customHeight="1">
      <x:c r="A9" s="16" t="n">
        <x:v>3</x:v>
      </x:c>
      <x:c r="B9" s="25" t="str">
        <x:v>en-US 与 es-MX 分开查看，不用总体均值掩盖单一市场问题。</x:v>
      </x:c>
    </x:row>
    <x:row r="10" ht="34" customHeight="1">
      <x:c r="A10" s="16" t="n">
        <x:v>4</x:v>
      </x:c>
      <x:c r="B10" s="25" t="str">
        <x:v>任何关键事实矛盾越过导出闸门都触发 Beta 暂停和根因分析。</x:v>
      </x:c>
    </x:row>
    <x:row r="11" ht="34" customHeight="1">
      <x:c r="A11" s="16" t="n">
        <x:v>5</x:v>
      </x:c>
      <x:c r="B11" s="25" t="str">
        <x:v>修改次数只记录影响最终可用性的实质修改。</x:v>
      </x:c>
    </x:row>
    <x:row r="12" ht="34" customHeight="1">
      <x:c r="A12" s="16" t="n">
        <x:v>6</x:v>
      </x:c>
      <x:c r="B12" s="25" t="str">
        <x:v>Interviews 每周每位参与者一行；不要粘贴内容正文或可识别公司资料。</x:v>
      </x:c>
    </x:row>
    <x:row r="13" ht="34" customHeight="1">
      <x:c r="A13" s="16" t="n">
        <x:v>7</x:v>
      </x:c>
      <x:c r="B13" s="25" t="str">
        <x:v>争议由第三位裁决者记录在 disagreement_note，不覆盖原始评分。</x:v>
      </x:c>
    </x:row>
    <x:row r="14" ht="34" customHeight="1">
      <x:c r="A14" s="16" t="n">
        <x:v>8</x:v>
      </x:c>
      <x:c r="B14" s="26" t="str">
        <x:v>Dashboard 只读取其他表；不要手工覆盖公式。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13" max="13" width="17" hidden="0" customWidth="1"/>
    <x:col min="14" max="14" width="17" hidden="0" customWidth="1"/>
    <x:col min="7" max="7" width="21" hidden="0" customWidth="1"/>
    <x:col min="8" max="8" width="21" hidden="0" customWidth="1"/>
    <x:col min="10" max="10" width="21" hidden="0" customWidth="1"/>
    <x:col min="11" max="11" width="21" hidden="0" customWidth="1"/>
    <x:col min="9" max="9" width="18" hidden="0" customWidth="1"/>
    <x:col min="12" max="12" width="14" hidden="0" customWidth="1"/>
  </x:cols>
  <x:sheetData>
    <x:row r="1">
      <x:c r="A1" s="3" t="str">
        <x:v>Tasks · Baseline 与 LocalizeFlow 真实任务计时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>
      <x:c r="A4" s="12" t="str">
        <x:v>task_id</x:v>
      </x:c>
      <x:c r="B4" s="29" t="str">
        <x:v>participant_id</x:v>
      </x:c>
      <x:c r="C4" s="29" t="str">
        <x:v>project_id</x:v>
      </x:c>
      <x:c r="D4" s="29" t="str">
        <x:v>sku</x:v>
      </x:c>
      <x:c r="E4" s="29" t="str">
        <x:v>market</x:v>
      </x:c>
      <x:c r="F4" s="29" t="str">
        <x:v>content_type</x:v>
      </x:c>
      <x:c r="G4" s="29" t="str">
        <x:v>baseline_start</x:v>
      </x:c>
      <x:c r="H4" s="29" t="str">
        <x:v>baseline_end</x:v>
      </x:c>
      <x:c r="I4" s="29" t="str">
        <x:v>baseline_minutes</x:v>
      </x:c>
      <x:c r="J4" s="29" t="str">
        <x:v>lf_start</x:v>
      </x:c>
      <x:c r="K4" s="29" t="str">
        <x:v>lf_end</x:v>
      </x:c>
      <x:c r="L4" s="29" t="str">
        <x:v>lf_minutes</x:v>
      </x:c>
      <x:c r="M4" s="29" t="str">
        <x:v>modifications</x:v>
      </x:c>
      <x:c r="N4" s="13" t="str">
        <x:v>final_usable</x:v>
      </x:c>
    </x:row>
    <x:row r="5">
      <x:c r="A5" s="39"/>
      <x:c r="B5" s="40"/>
      <x:c r="C5" s="40"/>
      <x:c r="D5" s="40"/>
      <x:c r="E5" s="40"/>
      <x:c r="F5" s="40"/>
      <x:c r="G5" s="48"/>
      <x:c r="H5" s="48"/>
      <x:c r="I5" s="51" t="str">
        <x:f>IF(OR(G5="",H5=""),"",(H5-G5)*1440)</x:f>
      </x:c>
      <x:c r="J5" s="48"/>
      <x:c r="K5" s="48"/>
      <x:c r="L5" s="51" t="str">
        <x:f>IF(OR(J5="",K5=""),"",(K5-J5)*1440)</x:f>
      </x:c>
      <x:c r="M5" s="54"/>
      <x:c r="N5" s="41"/>
    </x:row>
    <x:row r="6">
      <x:c r="A6" s="42"/>
      <x:c r="B6" s="43"/>
      <x:c r="C6" s="43"/>
      <x:c r="D6" s="43"/>
      <x:c r="E6" s="43"/>
      <x:c r="F6" s="43"/>
      <x:c r="G6" s="49"/>
      <x:c r="H6" s="49"/>
      <x:c r="I6" s="52" t="str">
        <x:f>IF(OR(G6="",H6=""),"",(H6-G6)*1440)</x:f>
      </x:c>
      <x:c r="J6" s="49"/>
      <x:c r="K6" s="49"/>
      <x:c r="L6" s="52" t="str">
        <x:f>IF(OR(J6="",K6=""),"",(K6-J6)*1440)</x:f>
      </x:c>
      <x:c r="M6" s="55"/>
      <x:c r="N6" s="44"/>
    </x:row>
    <x:row r="7">
      <x:c r="A7" s="42"/>
      <x:c r="B7" s="43"/>
      <x:c r="C7" s="43"/>
      <x:c r="D7" s="43"/>
      <x:c r="E7" s="43"/>
      <x:c r="F7" s="43"/>
      <x:c r="G7" s="49"/>
      <x:c r="H7" s="49"/>
      <x:c r="I7" s="52" t="str">
        <x:f>IF(OR(G7="",H7=""),"",(H7-G7)*1440)</x:f>
      </x:c>
      <x:c r="J7" s="49"/>
      <x:c r="K7" s="49"/>
      <x:c r="L7" s="52" t="str">
        <x:f>IF(OR(J7="",K7=""),"",(K7-J7)*1440)</x:f>
      </x:c>
      <x:c r="M7" s="55"/>
      <x:c r="N7" s="44"/>
    </x:row>
    <x:row r="8">
      <x:c r="A8" s="42"/>
      <x:c r="B8" s="43"/>
      <x:c r="C8" s="43"/>
      <x:c r="D8" s="43"/>
      <x:c r="E8" s="43"/>
      <x:c r="F8" s="43"/>
      <x:c r="G8" s="49"/>
      <x:c r="H8" s="49"/>
      <x:c r="I8" s="52" t="str">
        <x:f>IF(OR(G8="",H8=""),"",(H8-G8)*1440)</x:f>
      </x:c>
      <x:c r="J8" s="49"/>
      <x:c r="K8" s="49"/>
      <x:c r="L8" s="52" t="str">
        <x:f>IF(OR(J8="",K8=""),"",(K8-J8)*1440)</x:f>
      </x:c>
      <x:c r="M8" s="55"/>
      <x:c r="N8" s="44"/>
    </x:row>
    <x:row r="9">
      <x:c r="A9" s="42"/>
      <x:c r="B9" s="43"/>
      <x:c r="C9" s="43"/>
      <x:c r="D9" s="43"/>
      <x:c r="E9" s="43"/>
      <x:c r="F9" s="43"/>
      <x:c r="G9" s="49"/>
      <x:c r="H9" s="49"/>
      <x:c r="I9" s="52" t="str">
        <x:f>IF(OR(G9="",H9=""),"",(H9-G9)*1440)</x:f>
      </x:c>
      <x:c r="J9" s="49"/>
      <x:c r="K9" s="49"/>
      <x:c r="L9" s="52" t="str">
        <x:f>IF(OR(J9="",K9=""),"",(K9-J9)*1440)</x:f>
      </x:c>
      <x:c r="M9" s="55"/>
      <x:c r="N9" s="44"/>
    </x:row>
    <x:row r="10">
      <x:c r="A10" s="42"/>
      <x:c r="B10" s="43"/>
      <x:c r="C10" s="43"/>
      <x:c r="D10" s="43"/>
      <x:c r="E10" s="43"/>
      <x:c r="F10" s="43"/>
      <x:c r="G10" s="49"/>
      <x:c r="H10" s="49"/>
      <x:c r="I10" s="52" t="str">
        <x:f>IF(OR(G10="",H10=""),"",(H10-G10)*1440)</x:f>
      </x:c>
      <x:c r="J10" s="49"/>
      <x:c r="K10" s="49"/>
      <x:c r="L10" s="52" t="str">
        <x:f>IF(OR(J10="",K10=""),"",(K10-J10)*1440)</x:f>
      </x:c>
      <x:c r="M10" s="55"/>
      <x:c r="N10" s="44"/>
    </x:row>
    <x:row r="11">
      <x:c r="A11" s="42"/>
      <x:c r="B11" s="43"/>
      <x:c r="C11" s="43"/>
      <x:c r="D11" s="43"/>
      <x:c r="E11" s="43"/>
      <x:c r="F11" s="43"/>
      <x:c r="G11" s="49"/>
      <x:c r="H11" s="49"/>
      <x:c r="I11" s="52" t="str">
        <x:f>IF(OR(G11="",H11=""),"",(H11-G11)*1440)</x:f>
      </x:c>
      <x:c r="J11" s="49"/>
      <x:c r="K11" s="49"/>
      <x:c r="L11" s="52" t="str">
        <x:f>IF(OR(J11="",K11=""),"",(K11-J11)*1440)</x:f>
      </x:c>
      <x:c r="M11" s="55"/>
      <x:c r="N11" s="44"/>
    </x:row>
    <x:row r="12">
      <x:c r="A12" s="42"/>
      <x:c r="B12" s="43"/>
      <x:c r="C12" s="43"/>
      <x:c r="D12" s="43"/>
      <x:c r="E12" s="43"/>
      <x:c r="F12" s="43"/>
      <x:c r="G12" s="49"/>
      <x:c r="H12" s="49"/>
      <x:c r="I12" s="52" t="str">
        <x:f>IF(OR(G12="",H12=""),"",(H12-G12)*1440)</x:f>
      </x:c>
      <x:c r="J12" s="49"/>
      <x:c r="K12" s="49"/>
      <x:c r="L12" s="52" t="str">
        <x:f>IF(OR(J12="",K12=""),"",(K12-J12)*1440)</x:f>
      </x:c>
      <x:c r="M12" s="55"/>
      <x:c r="N12" s="44"/>
    </x:row>
    <x:row r="13">
      <x:c r="A13" s="42"/>
      <x:c r="B13" s="43"/>
      <x:c r="C13" s="43"/>
      <x:c r="D13" s="43"/>
      <x:c r="E13" s="43"/>
      <x:c r="F13" s="43"/>
      <x:c r="G13" s="49"/>
      <x:c r="H13" s="49"/>
      <x:c r="I13" s="52" t="str">
        <x:f>IF(OR(G13="",H13=""),"",(H13-G13)*1440)</x:f>
      </x:c>
      <x:c r="J13" s="49"/>
      <x:c r="K13" s="49"/>
      <x:c r="L13" s="52" t="str">
        <x:f>IF(OR(J13="",K13=""),"",(K13-J13)*1440)</x:f>
      </x:c>
      <x:c r="M13" s="55"/>
      <x:c r="N13" s="44"/>
    </x:row>
    <x:row r="14">
      <x:c r="A14" s="42"/>
      <x:c r="B14" s="43"/>
      <x:c r="C14" s="43"/>
      <x:c r="D14" s="43"/>
      <x:c r="E14" s="43"/>
      <x:c r="F14" s="43"/>
      <x:c r="G14" s="49"/>
      <x:c r="H14" s="49"/>
      <x:c r="I14" s="52" t="str">
        <x:f>IF(OR(G14="",H14=""),"",(H14-G14)*1440)</x:f>
      </x:c>
      <x:c r="J14" s="49"/>
      <x:c r="K14" s="49"/>
      <x:c r="L14" s="52" t="str">
        <x:f>IF(OR(J14="",K14=""),"",(K14-J14)*1440)</x:f>
      </x:c>
      <x:c r="M14" s="55"/>
      <x:c r="N14" s="44"/>
    </x:row>
    <x:row r="15">
      <x:c r="A15" s="42"/>
      <x:c r="B15" s="43"/>
      <x:c r="C15" s="43"/>
      <x:c r="D15" s="43"/>
      <x:c r="E15" s="43"/>
      <x:c r="F15" s="43"/>
      <x:c r="G15" s="49"/>
      <x:c r="H15" s="49"/>
      <x:c r="I15" s="52" t="str">
        <x:f>IF(OR(G15="",H15=""),"",(H15-G15)*1440)</x:f>
      </x:c>
      <x:c r="J15" s="49"/>
      <x:c r="K15" s="49"/>
      <x:c r="L15" s="52" t="str">
        <x:f>IF(OR(J15="",K15=""),"",(K15-J15)*1440)</x:f>
      </x:c>
      <x:c r="M15" s="55"/>
      <x:c r="N15" s="44"/>
    </x:row>
    <x:row r="16">
      <x:c r="A16" s="42"/>
      <x:c r="B16" s="43"/>
      <x:c r="C16" s="43"/>
      <x:c r="D16" s="43"/>
      <x:c r="E16" s="43"/>
      <x:c r="F16" s="43"/>
      <x:c r="G16" s="49"/>
      <x:c r="H16" s="49"/>
      <x:c r="I16" s="52" t="str">
        <x:f>IF(OR(G16="",H16=""),"",(H16-G16)*1440)</x:f>
      </x:c>
      <x:c r="J16" s="49"/>
      <x:c r="K16" s="49"/>
      <x:c r="L16" s="52" t="str">
        <x:f>IF(OR(J16="",K16=""),"",(K16-J16)*1440)</x:f>
      </x:c>
      <x:c r="M16" s="55"/>
      <x:c r="N16" s="44"/>
    </x:row>
    <x:row r="17">
      <x:c r="A17" s="42"/>
      <x:c r="B17" s="43"/>
      <x:c r="C17" s="43"/>
      <x:c r="D17" s="43"/>
      <x:c r="E17" s="43"/>
      <x:c r="F17" s="43"/>
      <x:c r="G17" s="49"/>
      <x:c r="H17" s="49"/>
      <x:c r="I17" s="52" t="str">
        <x:f>IF(OR(G17="",H17=""),"",(H17-G17)*1440)</x:f>
      </x:c>
      <x:c r="J17" s="49"/>
      <x:c r="K17" s="49"/>
      <x:c r="L17" s="52" t="str">
        <x:f>IF(OR(J17="",K17=""),"",(K17-J17)*1440)</x:f>
      </x:c>
      <x:c r="M17" s="55"/>
      <x:c r="N17" s="44"/>
    </x:row>
    <x:row r="18">
      <x:c r="A18" s="42"/>
      <x:c r="B18" s="43"/>
      <x:c r="C18" s="43"/>
      <x:c r="D18" s="43"/>
      <x:c r="E18" s="43"/>
      <x:c r="F18" s="43"/>
      <x:c r="G18" s="49"/>
      <x:c r="H18" s="49"/>
      <x:c r="I18" s="52" t="str">
        <x:f>IF(OR(G18="",H18=""),"",(H18-G18)*1440)</x:f>
      </x:c>
      <x:c r="J18" s="49"/>
      <x:c r="K18" s="49"/>
      <x:c r="L18" s="52" t="str">
        <x:f>IF(OR(J18="",K18=""),"",(K18-J18)*1440)</x:f>
      </x:c>
      <x:c r="M18" s="55"/>
      <x:c r="N18" s="44"/>
    </x:row>
    <x:row r="19">
      <x:c r="A19" s="42"/>
      <x:c r="B19" s="43"/>
      <x:c r="C19" s="43"/>
      <x:c r="D19" s="43"/>
      <x:c r="E19" s="43"/>
      <x:c r="F19" s="43"/>
      <x:c r="G19" s="49"/>
      <x:c r="H19" s="49"/>
      <x:c r="I19" s="52" t="str">
        <x:f>IF(OR(G19="",H19=""),"",(H19-G19)*1440)</x:f>
      </x:c>
      <x:c r="J19" s="49"/>
      <x:c r="K19" s="49"/>
      <x:c r="L19" s="52" t="str">
        <x:f>IF(OR(J19="",K19=""),"",(K19-J19)*1440)</x:f>
      </x:c>
      <x:c r="M19" s="55"/>
      <x:c r="N19" s="44"/>
    </x:row>
    <x:row r="20">
      <x:c r="A20" s="42"/>
      <x:c r="B20" s="43"/>
      <x:c r="C20" s="43"/>
      <x:c r="D20" s="43"/>
      <x:c r="E20" s="43"/>
      <x:c r="F20" s="43"/>
      <x:c r="G20" s="49"/>
      <x:c r="H20" s="49"/>
      <x:c r="I20" s="52" t="str">
        <x:f>IF(OR(G20="",H20=""),"",(H20-G20)*1440)</x:f>
      </x:c>
      <x:c r="J20" s="49"/>
      <x:c r="K20" s="49"/>
      <x:c r="L20" s="52" t="str">
        <x:f>IF(OR(J20="",K20=""),"",(K20-J20)*1440)</x:f>
      </x:c>
      <x:c r="M20" s="55"/>
      <x:c r="N20" s="44"/>
    </x:row>
    <x:row r="21">
      <x:c r="A21" s="42"/>
      <x:c r="B21" s="43"/>
      <x:c r="C21" s="43"/>
      <x:c r="D21" s="43"/>
      <x:c r="E21" s="43"/>
      <x:c r="F21" s="43"/>
      <x:c r="G21" s="49"/>
      <x:c r="H21" s="49"/>
      <x:c r="I21" s="52" t="str">
        <x:f>IF(OR(G21="",H21=""),"",(H21-G21)*1440)</x:f>
      </x:c>
      <x:c r="J21" s="49"/>
      <x:c r="K21" s="49"/>
      <x:c r="L21" s="52" t="str">
        <x:f>IF(OR(J21="",K21=""),"",(K21-J21)*1440)</x:f>
      </x:c>
      <x:c r="M21" s="55"/>
      <x:c r="N21" s="44"/>
    </x:row>
    <x:row r="22">
      <x:c r="A22" s="42"/>
      <x:c r="B22" s="43"/>
      <x:c r="C22" s="43"/>
      <x:c r="D22" s="43"/>
      <x:c r="E22" s="43"/>
      <x:c r="F22" s="43"/>
      <x:c r="G22" s="49"/>
      <x:c r="H22" s="49"/>
      <x:c r="I22" s="52" t="str">
        <x:f>IF(OR(G22="",H22=""),"",(H22-G22)*1440)</x:f>
      </x:c>
      <x:c r="J22" s="49"/>
      <x:c r="K22" s="49"/>
      <x:c r="L22" s="52" t="str">
        <x:f>IF(OR(J22="",K22=""),"",(K22-J22)*1440)</x:f>
      </x:c>
      <x:c r="M22" s="55"/>
      <x:c r="N22" s="44"/>
    </x:row>
    <x:row r="23">
      <x:c r="A23" s="42"/>
      <x:c r="B23" s="43"/>
      <x:c r="C23" s="43"/>
      <x:c r="D23" s="43"/>
      <x:c r="E23" s="43"/>
      <x:c r="F23" s="43"/>
      <x:c r="G23" s="49"/>
      <x:c r="H23" s="49"/>
      <x:c r="I23" s="52" t="str">
        <x:f>IF(OR(G23="",H23=""),"",(H23-G23)*1440)</x:f>
      </x:c>
      <x:c r="J23" s="49"/>
      <x:c r="K23" s="49"/>
      <x:c r="L23" s="52" t="str">
        <x:f>IF(OR(J23="",K23=""),"",(K23-J23)*1440)</x:f>
      </x:c>
      <x:c r="M23" s="55"/>
      <x:c r="N23" s="44"/>
    </x:row>
    <x:row r="24">
      <x:c r="A24" s="42"/>
      <x:c r="B24" s="43"/>
      <x:c r="C24" s="43"/>
      <x:c r="D24" s="43"/>
      <x:c r="E24" s="43"/>
      <x:c r="F24" s="43"/>
      <x:c r="G24" s="49"/>
      <x:c r="H24" s="49"/>
      <x:c r="I24" s="52" t="str">
        <x:f>IF(OR(G24="",H24=""),"",(H24-G24)*1440)</x:f>
      </x:c>
      <x:c r="J24" s="49"/>
      <x:c r="K24" s="49"/>
      <x:c r="L24" s="52" t="str">
        <x:f>IF(OR(J24="",K24=""),"",(K24-J24)*1440)</x:f>
      </x:c>
      <x:c r="M24" s="55"/>
      <x:c r="N24" s="44"/>
    </x:row>
    <x:row r="25">
      <x:c r="A25" s="42"/>
      <x:c r="B25" s="43"/>
      <x:c r="C25" s="43"/>
      <x:c r="D25" s="43"/>
      <x:c r="E25" s="43"/>
      <x:c r="F25" s="43"/>
      <x:c r="G25" s="49"/>
      <x:c r="H25" s="49"/>
      <x:c r="I25" s="52" t="str">
        <x:f>IF(OR(G25="",H25=""),"",(H25-G25)*1440)</x:f>
      </x:c>
      <x:c r="J25" s="49"/>
      <x:c r="K25" s="49"/>
      <x:c r="L25" s="52" t="str">
        <x:f>IF(OR(J25="",K25=""),"",(K25-J25)*1440)</x:f>
      </x:c>
      <x:c r="M25" s="55"/>
      <x:c r="N25" s="44"/>
    </x:row>
    <x:row r="26">
      <x:c r="A26" s="42"/>
      <x:c r="B26" s="43"/>
      <x:c r="C26" s="43"/>
      <x:c r="D26" s="43"/>
      <x:c r="E26" s="43"/>
      <x:c r="F26" s="43"/>
      <x:c r="G26" s="49"/>
      <x:c r="H26" s="49"/>
      <x:c r="I26" s="52" t="str">
        <x:f>IF(OR(G26="",H26=""),"",(H26-G26)*1440)</x:f>
      </x:c>
      <x:c r="J26" s="49"/>
      <x:c r="K26" s="49"/>
      <x:c r="L26" s="52" t="str">
        <x:f>IF(OR(J26="",K26=""),"",(K26-J26)*1440)</x:f>
      </x:c>
      <x:c r="M26" s="55"/>
      <x:c r="N26" s="44"/>
    </x:row>
    <x:row r="27">
      <x:c r="A27" s="42"/>
      <x:c r="B27" s="43"/>
      <x:c r="C27" s="43"/>
      <x:c r="D27" s="43"/>
      <x:c r="E27" s="43"/>
      <x:c r="F27" s="43"/>
      <x:c r="G27" s="49"/>
      <x:c r="H27" s="49"/>
      <x:c r="I27" s="52" t="str">
        <x:f>IF(OR(G27="",H27=""),"",(H27-G27)*1440)</x:f>
      </x:c>
      <x:c r="J27" s="49"/>
      <x:c r="K27" s="49"/>
      <x:c r="L27" s="52" t="str">
        <x:f>IF(OR(J27="",K27=""),"",(K27-J27)*1440)</x:f>
      </x:c>
      <x:c r="M27" s="55"/>
      <x:c r="N27" s="44"/>
    </x:row>
    <x:row r="28">
      <x:c r="A28" s="42"/>
      <x:c r="B28" s="43"/>
      <x:c r="C28" s="43"/>
      <x:c r="D28" s="43"/>
      <x:c r="E28" s="43"/>
      <x:c r="F28" s="43"/>
      <x:c r="G28" s="49"/>
      <x:c r="H28" s="49"/>
      <x:c r="I28" s="52" t="str">
        <x:f>IF(OR(G28="",H28=""),"",(H28-G28)*1440)</x:f>
      </x:c>
      <x:c r="J28" s="49"/>
      <x:c r="K28" s="49"/>
      <x:c r="L28" s="52" t="str">
        <x:f>IF(OR(J28="",K28=""),"",(K28-J28)*1440)</x:f>
      </x:c>
      <x:c r="M28" s="55"/>
      <x:c r="N28" s="44"/>
    </x:row>
    <x:row r="29">
      <x:c r="A29" s="42"/>
      <x:c r="B29" s="43"/>
      <x:c r="C29" s="43"/>
      <x:c r="D29" s="43"/>
      <x:c r="E29" s="43"/>
      <x:c r="F29" s="43"/>
      <x:c r="G29" s="49"/>
      <x:c r="H29" s="49"/>
      <x:c r="I29" s="52" t="str">
        <x:f>IF(OR(G29="",H29=""),"",(H29-G29)*1440)</x:f>
      </x:c>
      <x:c r="J29" s="49"/>
      <x:c r="K29" s="49"/>
      <x:c r="L29" s="52" t="str">
        <x:f>IF(OR(J29="",K29=""),"",(K29-J29)*1440)</x:f>
      </x:c>
      <x:c r="M29" s="55"/>
      <x:c r="N29" s="44"/>
    </x:row>
    <x:row r="30">
      <x:c r="A30" s="42"/>
      <x:c r="B30" s="43"/>
      <x:c r="C30" s="43"/>
      <x:c r="D30" s="43"/>
      <x:c r="E30" s="43"/>
      <x:c r="F30" s="43"/>
      <x:c r="G30" s="49"/>
      <x:c r="H30" s="49"/>
      <x:c r="I30" s="52" t="str">
        <x:f>IF(OR(G30="",H30=""),"",(H30-G30)*1440)</x:f>
      </x:c>
      <x:c r="J30" s="49"/>
      <x:c r="K30" s="49"/>
      <x:c r="L30" s="52" t="str">
        <x:f>IF(OR(J30="",K30=""),"",(K30-J30)*1440)</x:f>
      </x:c>
      <x:c r="M30" s="55"/>
      <x:c r="N30" s="44"/>
    </x:row>
    <x:row r="31">
      <x:c r="A31" s="42"/>
      <x:c r="B31" s="43"/>
      <x:c r="C31" s="43"/>
      <x:c r="D31" s="43"/>
      <x:c r="E31" s="43"/>
      <x:c r="F31" s="43"/>
      <x:c r="G31" s="49"/>
      <x:c r="H31" s="49"/>
      <x:c r="I31" s="52" t="str">
        <x:f>IF(OR(G31="",H31=""),"",(H31-G31)*1440)</x:f>
      </x:c>
      <x:c r="J31" s="49"/>
      <x:c r="K31" s="49"/>
      <x:c r="L31" s="52" t="str">
        <x:f>IF(OR(J31="",K31=""),"",(K31-J31)*1440)</x:f>
      </x:c>
      <x:c r="M31" s="55"/>
      <x:c r="N31" s="44"/>
    </x:row>
    <x:row r="32">
      <x:c r="A32" s="42"/>
      <x:c r="B32" s="43"/>
      <x:c r="C32" s="43"/>
      <x:c r="D32" s="43"/>
      <x:c r="E32" s="43"/>
      <x:c r="F32" s="43"/>
      <x:c r="G32" s="49"/>
      <x:c r="H32" s="49"/>
      <x:c r="I32" s="52" t="str">
        <x:f>IF(OR(G32="",H32=""),"",(H32-G32)*1440)</x:f>
      </x:c>
      <x:c r="J32" s="49"/>
      <x:c r="K32" s="49"/>
      <x:c r="L32" s="52" t="str">
        <x:f>IF(OR(J32="",K32=""),"",(K32-J32)*1440)</x:f>
      </x:c>
      <x:c r="M32" s="55"/>
      <x:c r="N32" s="44"/>
    </x:row>
    <x:row r="33">
      <x:c r="A33" s="42"/>
      <x:c r="B33" s="43"/>
      <x:c r="C33" s="43"/>
      <x:c r="D33" s="43"/>
      <x:c r="E33" s="43"/>
      <x:c r="F33" s="43"/>
      <x:c r="G33" s="49"/>
      <x:c r="H33" s="49"/>
      <x:c r="I33" s="52" t="str">
        <x:f>IF(OR(G33="",H33=""),"",(H33-G33)*1440)</x:f>
      </x:c>
      <x:c r="J33" s="49"/>
      <x:c r="K33" s="49"/>
      <x:c r="L33" s="52" t="str">
        <x:f>IF(OR(J33="",K33=""),"",(K33-J33)*1440)</x:f>
      </x:c>
      <x:c r="M33" s="55"/>
      <x:c r="N33" s="44"/>
    </x:row>
    <x:row r="34">
      <x:c r="A34" s="45"/>
      <x:c r="B34" s="46"/>
      <x:c r="C34" s="46"/>
      <x:c r="D34" s="46"/>
      <x:c r="E34" s="46"/>
      <x:c r="F34" s="46"/>
      <x:c r="G34" s="50"/>
      <x:c r="H34" s="50"/>
      <x:c r="I34" s="53" t="str">
        <x:f>IF(OR(G34="",H34=""),"",(H34-G34)*1440)</x:f>
      </x:c>
      <x:c r="J34" s="50"/>
      <x:c r="K34" s="50"/>
      <x:c r="L34" s="53" t="str">
        <x:f>IF(OR(J34="",K34=""),"",(K34-J34)*1440)</x:f>
      </x:c>
      <x:c r="M34" s="56"/>
      <x:c r="N34" s="47"/>
    </x:row>
  </x:sheetData>
  <x:mergeCells>
    <x:mergeCell ref="A1:N2"/>
  </x:mergeCells>
  <x:conditionalFormatting sqref="N5:N34">
    <x:cfRule type="containsText" dxfId="0" priority="1" operator="containsText" text="yes"/>
    <x:cfRule type="containsText" dxfId="1" priority="2" operator="containsText" text="no"/>
  </x:conditionalFormatting>
  <x:dataValidations count="3">
    <x:dataValidation type="list" sqref="E5:E34">
      <x:formula1>"US,MX"</x:formula1>
    </x:dataValidation>
    <x:dataValidation type="list" sqref="F5:F34">
      <x:formula1>"product_listing,short_video_script,social_ad_copy"</x:formula1>
    </x:dataValidation>
    <x:dataValidation type="list" sqref="N5:N34">
      <x:formula1>"yes,no,pending"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42" hidden="0" customWidth="1"/>
  </x:cols>
  <x:sheetData>
    <x:row r="1">
      <x:c r="A1" s="3" t="str">
        <x:v>Reviews · 双盲独立目标语言评审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>
      <x:c r="A4" s="12" t="str">
        <x:v>review_id</x:v>
      </x:c>
      <x:c r="B4" s="29" t="str">
        <x:v>task_id</x:v>
      </x:c>
      <x:c r="C4" s="29" t="str">
        <x:v>reviewer_id</x:v>
      </x:c>
      <x:c r="D4" s="29" t="str">
        <x:v>language</x:v>
      </x:c>
      <x:c r="E4" s="29" t="str">
        <x:v>blinded_candidate</x:v>
      </x:c>
      <x:c r="F4" s="29" t="str">
        <x:v>factual_accuracy</x:v>
      </x:c>
      <x:c r="G4" s="29" t="str">
        <x:v>terminology</x:v>
      </x:c>
      <x:c r="H4" s="29" t="str">
        <x:v>fluency</x:v>
      </x:c>
      <x:c r="I4" s="29" t="str">
        <x:v>brand_fit</x:v>
      </x:c>
      <x:c r="J4" s="29" t="str">
        <x:v>platform_fit</x:v>
      </x:c>
      <x:c r="K4" s="29" t="str">
        <x:v>critical_contradiction</x:v>
      </x:c>
      <x:c r="L4" s="29" t="str">
        <x:v>usable</x:v>
      </x:c>
      <x:c r="M4" s="13" t="str">
        <x:v>disagreement_note</x:v>
      </x:c>
    </x:row>
    <x:row r="5">
      <x:c r="A5" s="66"/>
      <x:c r="B5" s="67"/>
      <x:c r="C5" s="67"/>
      <x:c r="D5" s="67"/>
      <x:c r="E5" s="67"/>
      <x:c r="F5" s="67"/>
      <x:c r="G5" s="67"/>
      <x:c r="H5" s="67"/>
      <x:c r="I5" s="67"/>
      <x:c r="J5" s="67"/>
      <x:c r="K5" s="67"/>
      <x:c r="L5" s="67"/>
      <x:c r="M5" s="68"/>
    </x:row>
    <x:row r="6">
      <x:c r="A6" s="69"/>
      <x:c r="B6" s="70"/>
      <x:c r="C6" s="70"/>
      <x:c r="D6" s="70"/>
      <x:c r="E6" s="70"/>
      <x:c r="F6" s="70"/>
      <x:c r="G6" s="70"/>
      <x:c r="H6" s="70"/>
      <x:c r="I6" s="70"/>
      <x:c r="J6" s="70"/>
      <x:c r="K6" s="70"/>
      <x:c r="L6" s="70"/>
      <x:c r="M6" s="71"/>
    </x:row>
    <x:row r="7">
      <x:c r="A7" s="69"/>
      <x:c r="B7" s="70"/>
      <x:c r="C7" s="70"/>
      <x:c r="D7" s="70"/>
      <x:c r="E7" s="70"/>
      <x:c r="F7" s="70"/>
      <x:c r="G7" s="70"/>
      <x:c r="H7" s="70"/>
      <x:c r="I7" s="70"/>
      <x:c r="J7" s="70"/>
      <x:c r="K7" s="70"/>
      <x:c r="L7" s="70"/>
      <x:c r="M7" s="71"/>
    </x:row>
    <x:row r="8">
      <x:c r="A8" s="69"/>
      <x:c r="B8" s="70"/>
      <x:c r="C8" s="70"/>
      <x:c r="D8" s="70"/>
      <x:c r="E8" s="70"/>
      <x:c r="F8" s="70"/>
      <x:c r="G8" s="70"/>
      <x:c r="H8" s="70"/>
      <x:c r="I8" s="70"/>
      <x:c r="J8" s="70"/>
      <x:c r="K8" s="70"/>
      <x:c r="L8" s="70"/>
      <x:c r="M8" s="71"/>
    </x:row>
    <x:row r="9">
      <x:c r="A9" s="69"/>
      <x:c r="B9" s="70"/>
      <x:c r="C9" s="70"/>
      <x:c r="D9" s="70"/>
      <x:c r="E9" s="70"/>
      <x:c r="F9" s="70"/>
      <x:c r="G9" s="70"/>
      <x:c r="H9" s="70"/>
      <x:c r="I9" s="70"/>
      <x:c r="J9" s="70"/>
      <x:c r="K9" s="70"/>
      <x:c r="L9" s="70"/>
      <x:c r="M9" s="71"/>
    </x:row>
    <x:row r="10">
      <x:c r="A10" s="69"/>
      <x:c r="B10" s="70"/>
      <x:c r="C10" s="70"/>
      <x:c r="D10" s="70"/>
      <x:c r="E10" s="70"/>
      <x:c r="F10" s="70"/>
      <x:c r="G10" s="70"/>
      <x:c r="H10" s="70"/>
      <x:c r="I10" s="70"/>
      <x:c r="J10" s="70"/>
      <x:c r="K10" s="70"/>
      <x:c r="L10" s="70"/>
      <x:c r="M10" s="71"/>
    </x:row>
    <x:row r="11">
      <x:c r="A11" s="69"/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1"/>
    </x:row>
    <x:row r="12">
      <x:c r="A12" s="69"/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1"/>
    </x:row>
    <x:row r="13">
      <x:c r="A13" s="69"/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1"/>
    </x:row>
    <x:row r="14">
      <x:c r="A14" s="69"/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1"/>
    </x:row>
    <x:row r="15">
      <x:c r="A15" s="69"/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1"/>
    </x:row>
    <x:row r="16">
      <x:c r="A16" s="69"/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1"/>
    </x:row>
    <x:row r="17">
      <x:c r="A17" s="69"/>
      <x:c r="B17" s="70"/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  <x:c r="M17" s="71"/>
    </x:row>
    <x:row r="18">
      <x:c r="A18" s="69"/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1"/>
    </x:row>
    <x:row r="19">
      <x:c r="A19" s="69"/>
      <x:c r="B19" s="70"/>
      <x:c r="C19" s="70"/>
      <x:c r="D19" s="70"/>
      <x:c r="E19" s="70"/>
      <x:c r="F19" s="70"/>
      <x:c r="G19" s="70"/>
      <x:c r="H19" s="70"/>
      <x:c r="I19" s="70"/>
      <x:c r="J19" s="70"/>
      <x:c r="K19" s="70"/>
      <x:c r="L19" s="70"/>
      <x:c r="M19" s="71"/>
    </x:row>
    <x:row r="20">
      <x:c r="A20" s="69"/>
      <x:c r="B20" s="70"/>
      <x:c r="C20" s="70"/>
      <x:c r="D20" s="70"/>
      <x:c r="E20" s="70"/>
      <x:c r="F20" s="70"/>
      <x:c r="G20" s="70"/>
      <x:c r="H20" s="70"/>
      <x:c r="I20" s="70"/>
      <x:c r="J20" s="70"/>
      <x:c r="K20" s="70"/>
      <x:c r="L20" s="70"/>
      <x:c r="M20" s="71"/>
    </x:row>
    <x:row r="2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0"/>
      <x:c r="L21" s="70"/>
      <x:c r="M21" s="71"/>
    </x:row>
    <x:row r="22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0"/>
      <x:c r="L22" s="70"/>
      <x:c r="M22" s="71"/>
    </x:row>
    <x:row r="23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0"/>
      <x:c r="L23" s="70"/>
      <x:c r="M23" s="71"/>
    </x:row>
    <x:row r="24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0"/>
      <x:c r="L24" s="70"/>
      <x:c r="M24" s="71"/>
    </x:row>
    <x:row r="25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0"/>
      <x:c r="L25" s="70"/>
      <x:c r="M25" s="71"/>
    </x:row>
    <x:row r="26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0"/>
      <x:c r="L26" s="70"/>
      <x:c r="M26" s="71"/>
    </x:row>
    <x:row r="27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0"/>
      <x:c r="L27" s="70"/>
      <x:c r="M27" s="71"/>
    </x:row>
    <x:row r="28">
      <x:c r="A28" s="69"/>
      <x:c r="B28" s="70"/>
      <x:c r="C28" s="70"/>
      <x:c r="D28" s="70"/>
      <x:c r="E28" s="70"/>
      <x:c r="F28" s="70"/>
      <x:c r="G28" s="70"/>
      <x:c r="H28" s="70"/>
      <x:c r="I28" s="70"/>
      <x:c r="J28" s="70"/>
      <x:c r="K28" s="70"/>
      <x:c r="L28" s="70"/>
      <x:c r="M28" s="71"/>
    </x:row>
    <x:row r="29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0"/>
      <x:c r="L29" s="70"/>
      <x:c r="M29" s="71"/>
    </x:row>
    <x:row r="30">
      <x:c r="A30" s="69"/>
      <x:c r="B30" s="70"/>
      <x:c r="C30" s="70"/>
      <x:c r="D30" s="70"/>
      <x:c r="E30" s="70"/>
      <x:c r="F30" s="70"/>
      <x:c r="G30" s="70"/>
      <x:c r="H30" s="70"/>
      <x:c r="I30" s="70"/>
      <x:c r="J30" s="70"/>
      <x:c r="K30" s="70"/>
      <x:c r="L30" s="70"/>
      <x:c r="M30" s="71"/>
    </x:row>
    <x:row r="3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0"/>
      <x:c r="L31" s="70"/>
      <x:c r="M31" s="71"/>
    </x:row>
    <x:row r="32">
      <x:c r="A32" s="69"/>
      <x:c r="B32" s="70"/>
      <x:c r="C32" s="70"/>
      <x:c r="D32" s="70"/>
      <x:c r="E32" s="70"/>
      <x:c r="F32" s="70"/>
      <x:c r="G32" s="70"/>
      <x:c r="H32" s="70"/>
      <x:c r="I32" s="70"/>
      <x:c r="J32" s="70"/>
      <x:c r="K32" s="70"/>
      <x:c r="L32" s="70"/>
      <x:c r="M32" s="71"/>
    </x:row>
    <x:row r="33">
      <x:c r="A33" s="69"/>
      <x:c r="B33" s="70"/>
      <x:c r="C33" s="70"/>
      <x:c r="D33" s="70"/>
      <x:c r="E33" s="70"/>
      <x:c r="F33" s="70"/>
      <x:c r="G33" s="70"/>
      <x:c r="H33" s="70"/>
      <x:c r="I33" s="70"/>
      <x:c r="J33" s="70"/>
      <x:c r="K33" s="70"/>
      <x:c r="L33" s="70"/>
      <x:c r="M33" s="71"/>
    </x:row>
    <x:row r="34">
      <x:c r="A34" s="69"/>
      <x:c r="B34" s="70"/>
      <x:c r="C34" s="70"/>
      <x:c r="D34" s="70"/>
      <x:c r="E34" s="70"/>
      <x:c r="F34" s="70"/>
      <x:c r="G34" s="70"/>
      <x:c r="H34" s="70"/>
      <x:c r="I34" s="70"/>
      <x:c r="J34" s="70"/>
      <x:c r="K34" s="70"/>
      <x:c r="L34" s="70"/>
      <x:c r="M34" s="71"/>
    </x:row>
    <x:row r="35">
      <x:c r="A35" s="69"/>
      <x:c r="B35" s="70"/>
      <x:c r="C35" s="70"/>
      <x:c r="D35" s="70"/>
      <x:c r="E35" s="70"/>
      <x:c r="F35" s="70"/>
      <x:c r="G35" s="70"/>
      <x:c r="H35" s="70"/>
      <x:c r="I35" s="70"/>
      <x:c r="J35" s="70"/>
      <x:c r="K35" s="70"/>
      <x:c r="L35" s="70"/>
      <x:c r="M35" s="71"/>
    </x:row>
    <x:row r="36">
      <x:c r="A36" s="69"/>
      <x:c r="B36" s="70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1"/>
    </x:row>
    <x:row r="37">
      <x:c r="A37" s="69"/>
      <x:c r="B37" s="70"/>
      <x:c r="C37" s="70"/>
      <x:c r="D37" s="70"/>
      <x:c r="E37" s="70"/>
      <x:c r="F37" s="70"/>
      <x:c r="G37" s="70"/>
      <x:c r="H37" s="70"/>
      <x:c r="I37" s="70"/>
      <x:c r="J37" s="70"/>
      <x:c r="K37" s="70"/>
      <x:c r="L37" s="70"/>
      <x:c r="M37" s="71"/>
    </x:row>
    <x:row r="38">
      <x:c r="A38" s="69"/>
      <x:c r="B38" s="70"/>
      <x:c r="C38" s="70"/>
      <x:c r="D38" s="70"/>
      <x:c r="E38" s="70"/>
      <x:c r="F38" s="70"/>
      <x:c r="G38" s="70"/>
      <x:c r="H38" s="70"/>
      <x:c r="I38" s="70"/>
      <x:c r="J38" s="70"/>
      <x:c r="K38" s="70"/>
      <x:c r="L38" s="70"/>
      <x:c r="M38" s="71"/>
    </x:row>
    <x:row r="39">
      <x:c r="A39" s="69"/>
      <x:c r="B39" s="70"/>
      <x:c r="C39" s="70"/>
      <x:c r="D39" s="70"/>
      <x:c r="E39" s="70"/>
      <x:c r="F39" s="70"/>
      <x:c r="G39" s="70"/>
      <x:c r="H39" s="70"/>
      <x:c r="I39" s="70"/>
      <x:c r="J39" s="70"/>
      <x:c r="K39" s="70"/>
      <x:c r="L39" s="70"/>
      <x:c r="M39" s="71"/>
    </x:row>
    <x:row r="40">
      <x:c r="A40" s="69"/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1"/>
    </x:row>
    <x:row r="41">
      <x:c r="A41" s="69"/>
      <x:c r="B41" s="70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  <x:c r="M41" s="71"/>
    </x:row>
    <x:row r="42">
      <x:c r="A42" s="69"/>
      <x:c r="B42" s="70"/>
      <x:c r="C42" s="70"/>
      <x:c r="D42" s="70"/>
      <x:c r="E42" s="70"/>
      <x:c r="F42" s="70"/>
      <x:c r="G42" s="70"/>
      <x:c r="H42" s="70"/>
      <x:c r="I42" s="70"/>
      <x:c r="J42" s="70"/>
      <x:c r="K42" s="70"/>
      <x:c r="L42" s="70"/>
      <x:c r="M42" s="71"/>
    </x:row>
    <x:row r="43">
      <x:c r="A43" s="69"/>
      <x:c r="B43" s="70"/>
      <x:c r="C43" s="70"/>
      <x:c r="D43" s="70"/>
      <x:c r="E43" s="70"/>
      <x:c r="F43" s="70"/>
      <x:c r="G43" s="70"/>
      <x:c r="H43" s="70"/>
      <x:c r="I43" s="70"/>
      <x:c r="J43" s="70"/>
      <x:c r="K43" s="70"/>
      <x:c r="L43" s="70"/>
      <x:c r="M43" s="71"/>
    </x:row>
    <x:row r="44">
      <x:c r="A44" s="69"/>
      <x:c r="B44" s="70"/>
      <x:c r="C44" s="70"/>
      <x:c r="D44" s="70"/>
      <x:c r="E44" s="70"/>
      <x:c r="F44" s="70"/>
      <x:c r="G44" s="70"/>
      <x:c r="H44" s="70"/>
      <x:c r="I44" s="70"/>
      <x:c r="J44" s="70"/>
      <x:c r="K44" s="70"/>
      <x:c r="L44" s="70"/>
      <x:c r="M44" s="71"/>
    </x:row>
    <x:row r="45">
      <x:c r="A45" s="69"/>
      <x:c r="B45" s="70"/>
      <x:c r="C45" s="70"/>
      <x:c r="D45" s="70"/>
      <x:c r="E45" s="70"/>
      <x:c r="F45" s="70"/>
      <x:c r="G45" s="70"/>
      <x:c r="H45" s="70"/>
      <x:c r="I45" s="70"/>
      <x:c r="J45" s="70"/>
      <x:c r="K45" s="70"/>
      <x:c r="L45" s="70"/>
      <x:c r="M45" s="71"/>
    </x:row>
    <x:row r="46">
      <x:c r="A46" s="69"/>
      <x:c r="B46" s="70"/>
      <x:c r="C46" s="70"/>
      <x:c r="D46" s="70"/>
      <x:c r="E46" s="70"/>
      <x:c r="F46" s="70"/>
      <x:c r="G46" s="70"/>
      <x:c r="H46" s="70"/>
      <x:c r="I46" s="70"/>
      <x:c r="J46" s="70"/>
      <x:c r="K46" s="70"/>
      <x:c r="L46" s="70"/>
      <x:c r="M46" s="71"/>
    </x:row>
    <x:row r="47">
      <x:c r="A47" s="69"/>
      <x:c r="B47" s="70"/>
      <x:c r="C47" s="70"/>
      <x:c r="D47" s="70"/>
      <x:c r="E47" s="70"/>
      <x:c r="F47" s="70"/>
      <x:c r="G47" s="70"/>
      <x:c r="H47" s="70"/>
      <x:c r="I47" s="70"/>
      <x:c r="J47" s="70"/>
      <x:c r="K47" s="70"/>
      <x:c r="L47" s="70"/>
      <x:c r="M47" s="71"/>
    </x:row>
    <x:row r="48">
      <x:c r="A48" s="69"/>
      <x:c r="B48" s="70"/>
      <x:c r="C48" s="70"/>
      <x:c r="D48" s="70"/>
      <x:c r="E48" s="70"/>
      <x:c r="F48" s="70"/>
      <x:c r="G48" s="70"/>
      <x:c r="H48" s="70"/>
      <x:c r="I48" s="70"/>
      <x:c r="J48" s="70"/>
      <x:c r="K48" s="70"/>
      <x:c r="L48" s="70"/>
      <x:c r="M48" s="71"/>
    </x:row>
    <x:row r="49">
      <x:c r="A49" s="69"/>
      <x:c r="B49" s="70"/>
      <x:c r="C49" s="70"/>
      <x:c r="D49" s="70"/>
      <x:c r="E49" s="70"/>
      <x:c r="F49" s="70"/>
      <x:c r="G49" s="70"/>
      <x:c r="H49" s="70"/>
      <x:c r="I49" s="70"/>
      <x:c r="J49" s="70"/>
      <x:c r="K49" s="70"/>
      <x:c r="L49" s="70"/>
      <x:c r="M49" s="71"/>
    </x:row>
    <x:row r="50">
      <x:c r="A50" s="69"/>
      <x:c r="B50" s="70"/>
      <x:c r="C50" s="70"/>
      <x:c r="D50" s="70"/>
      <x:c r="E50" s="70"/>
      <x:c r="F50" s="70"/>
      <x:c r="G50" s="70"/>
      <x:c r="H50" s="70"/>
      <x:c r="I50" s="70"/>
      <x:c r="J50" s="70"/>
      <x:c r="K50" s="70"/>
      <x:c r="L50" s="70"/>
      <x:c r="M50" s="71"/>
    </x:row>
    <x:row r="51">
      <x:c r="A51" s="69"/>
      <x:c r="B51" s="70"/>
      <x:c r="C51" s="70"/>
      <x:c r="D51" s="70"/>
      <x:c r="E51" s="70"/>
      <x:c r="F51" s="70"/>
      <x:c r="G51" s="70"/>
      <x:c r="H51" s="70"/>
      <x:c r="I51" s="70"/>
      <x:c r="J51" s="70"/>
      <x:c r="K51" s="70"/>
      <x:c r="L51" s="70"/>
      <x:c r="M51" s="71"/>
    </x:row>
    <x:row r="52">
      <x:c r="A52" s="69"/>
      <x:c r="B52" s="70"/>
      <x:c r="C52" s="70"/>
      <x:c r="D52" s="70"/>
      <x:c r="E52" s="70"/>
      <x:c r="F52" s="70"/>
      <x:c r="G52" s="70"/>
      <x:c r="H52" s="70"/>
      <x:c r="I52" s="70"/>
      <x:c r="J52" s="70"/>
      <x:c r="K52" s="70"/>
      <x:c r="L52" s="70"/>
      <x:c r="M52" s="71"/>
    </x:row>
    <x:row r="53">
      <x:c r="A53" s="69"/>
      <x:c r="B53" s="70"/>
      <x:c r="C53" s="70"/>
      <x:c r="D53" s="70"/>
      <x:c r="E53" s="70"/>
      <x:c r="F53" s="70"/>
      <x:c r="G53" s="70"/>
      <x:c r="H53" s="70"/>
      <x:c r="I53" s="70"/>
      <x:c r="J53" s="70"/>
      <x:c r="K53" s="70"/>
      <x:c r="L53" s="70"/>
      <x:c r="M53" s="71"/>
    </x:row>
    <x:row r="54">
      <x:c r="A54" s="69"/>
      <x:c r="B54" s="70"/>
      <x:c r="C54" s="70"/>
      <x:c r="D54" s="70"/>
      <x:c r="E54" s="70"/>
      <x:c r="F54" s="70"/>
      <x:c r="G54" s="70"/>
      <x:c r="H54" s="70"/>
      <x:c r="I54" s="70"/>
      <x:c r="J54" s="70"/>
      <x:c r="K54" s="70"/>
      <x:c r="L54" s="70"/>
      <x:c r="M54" s="71"/>
    </x:row>
    <x:row r="55">
      <x:c r="A55" s="69"/>
      <x:c r="B55" s="70"/>
      <x:c r="C55" s="70"/>
      <x:c r="D55" s="70"/>
      <x:c r="E55" s="70"/>
      <x:c r="F55" s="70"/>
      <x:c r="G55" s="70"/>
      <x:c r="H55" s="70"/>
      <x:c r="I55" s="70"/>
      <x:c r="J55" s="70"/>
      <x:c r="K55" s="70"/>
      <x:c r="L55" s="70"/>
      <x:c r="M55" s="71"/>
    </x:row>
    <x:row r="56">
      <x:c r="A56" s="69"/>
      <x:c r="B56" s="70"/>
      <x:c r="C56" s="70"/>
      <x:c r="D56" s="70"/>
      <x:c r="E56" s="70"/>
      <x:c r="F56" s="70"/>
      <x:c r="G56" s="70"/>
      <x:c r="H56" s="70"/>
      <x:c r="I56" s="70"/>
      <x:c r="J56" s="70"/>
      <x:c r="K56" s="70"/>
      <x:c r="L56" s="70"/>
      <x:c r="M56" s="71"/>
    </x:row>
    <x:row r="57">
      <x:c r="A57" s="69"/>
      <x:c r="B57" s="70"/>
      <x:c r="C57" s="70"/>
      <x:c r="D57" s="70"/>
      <x:c r="E57" s="70"/>
      <x:c r="F57" s="70"/>
      <x:c r="G57" s="70"/>
      <x:c r="H57" s="70"/>
      <x:c r="I57" s="70"/>
      <x:c r="J57" s="70"/>
      <x:c r="K57" s="70"/>
      <x:c r="L57" s="70"/>
      <x:c r="M57" s="71"/>
    </x:row>
    <x:row r="58">
      <x:c r="A58" s="69"/>
      <x:c r="B58" s="70"/>
      <x:c r="C58" s="70"/>
      <x:c r="D58" s="70"/>
      <x:c r="E58" s="70"/>
      <x:c r="F58" s="70"/>
      <x:c r="G58" s="70"/>
      <x:c r="H58" s="70"/>
      <x:c r="I58" s="70"/>
      <x:c r="J58" s="70"/>
      <x:c r="K58" s="70"/>
      <x:c r="L58" s="70"/>
      <x:c r="M58" s="71"/>
    </x:row>
    <x:row r="59">
      <x:c r="A59" s="69"/>
      <x:c r="B59" s="70"/>
      <x:c r="C59" s="70"/>
      <x:c r="D59" s="70"/>
      <x:c r="E59" s="70"/>
      <x:c r="F59" s="70"/>
      <x:c r="G59" s="70"/>
      <x:c r="H59" s="70"/>
      <x:c r="I59" s="70"/>
      <x:c r="J59" s="70"/>
      <x:c r="K59" s="70"/>
      <x:c r="L59" s="70"/>
      <x:c r="M59" s="71"/>
    </x:row>
    <x:row r="60">
      <x:c r="A60" s="69"/>
      <x:c r="B60" s="70"/>
      <x:c r="C60" s="70"/>
      <x:c r="D60" s="70"/>
      <x:c r="E60" s="70"/>
      <x:c r="F60" s="70"/>
      <x:c r="G60" s="70"/>
      <x:c r="H60" s="70"/>
      <x:c r="I60" s="70"/>
      <x:c r="J60" s="70"/>
      <x:c r="K60" s="70"/>
      <x:c r="L60" s="70"/>
      <x:c r="M60" s="71"/>
    </x:row>
    <x:row r="61">
      <x:c r="A61" s="69"/>
      <x:c r="B61" s="70"/>
      <x:c r="C61" s="70"/>
      <x:c r="D61" s="70"/>
      <x:c r="E61" s="70"/>
      <x:c r="F61" s="70"/>
      <x:c r="G61" s="70"/>
      <x:c r="H61" s="70"/>
      <x:c r="I61" s="70"/>
      <x:c r="J61" s="70"/>
      <x:c r="K61" s="70"/>
      <x:c r="L61" s="70"/>
      <x:c r="M61" s="71"/>
    </x:row>
    <x:row r="62">
      <x:c r="A62" s="69"/>
      <x:c r="B62" s="70"/>
      <x:c r="C62" s="70"/>
      <x:c r="D62" s="70"/>
      <x:c r="E62" s="70"/>
      <x:c r="F62" s="70"/>
      <x:c r="G62" s="70"/>
      <x:c r="H62" s="70"/>
      <x:c r="I62" s="70"/>
      <x:c r="J62" s="70"/>
      <x:c r="K62" s="70"/>
      <x:c r="L62" s="70"/>
      <x:c r="M62" s="71"/>
    </x:row>
    <x:row r="63">
      <x:c r="A63" s="69"/>
      <x:c r="B63" s="70"/>
      <x:c r="C63" s="70"/>
      <x:c r="D63" s="70"/>
      <x:c r="E63" s="70"/>
      <x:c r="F63" s="70"/>
      <x:c r="G63" s="70"/>
      <x:c r="H63" s="70"/>
      <x:c r="I63" s="70"/>
      <x:c r="J63" s="70"/>
      <x:c r="K63" s="70"/>
      <x:c r="L63" s="70"/>
      <x:c r="M63" s="71"/>
    </x:row>
    <x:row r="64">
      <x:c r="A64" s="72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4"/>
    </x:row>
  </x:sheetData>
  <x:mergeCells>
    <x:mergeCell ref="A1:M2"/>
  </x:mergeCells>
  <x:conditionalFormatting sqref="K5:K64">
    <x:cfRule type="containsText" dxfId="2" priority="1" operator="containsText" text="yes"/>
  </x:conditionalFormatting>
  <x:dataValidations count="9">
    <x:dataValidation type="list" sqref="D5:D64">
      <x:formula1>"en-US,es-MX"</x:formula1>
    </x:dataValidation>
    <x:dataValidation type="list" sqref="E5:E64">
      <x:formula1>"A,B"</x:formula1>
    </x:dataValidation>
    <x:dataValidation type="whole" operator="between" sqref="F5:F64">
      <x:formula1>1</x:formula1>
      <x:formula2>5</x:formula2>
    </x:dataValidation>
    <x:dataValidation type="whole" operator="between" sqref="G5:G64">
      <x:formula1>1</x:formula1>
      <x:formula2>5</x:formula2>
    </x:dataValidation>
    <x:dataValidation type="whole" operator="between" sqref="H5:H64">
      <x:formula1>1</x:formula1>
      <x:formula2>5</x:formula2>
    </x:dataValidation>
    <x:dataValidation type="whole" operator="between" sqref="I5:I64">
      <x:formula1>1</x:formula1>
      <x:formula2>5</x:formula2>
    </x:dataValidation>
    <x:dataValidation type="whole" operator="between" sqref="J5:J64">
      <x:formula1>1</x:formula1>
      <x:formula2>5</x:formula2>
    </x:dataValidation>
    <x:dataValidation type="list" sqref="K5:K64">
      <x:formula1>"yes,no"</x:formula1>
    </x:dataValidation>
    <x:dataValidation type="list" sqref="L5:L64">
      <x:formula1>"yes,no,needs_revision"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5" max="5" width="19" hidden="0" customWidth="1"/>
    <x:col min="6" max="6" width="19" hidden="0" customWidth="1"/>
    <x:col min="7" max="7" width="19" hidden="0" customWidth="1"/>
    <x:col min="9" max="9" width="19" hidden="0" customWidth="1"/>
    <x:col min="4" max="4" width="40" hidden="0" customWidth="1"/>
    <x:col min="8" max="8" width="38" hidden="0" customWidth="1"/>
  </x:cols>
  <x:sheetData>
    <x:row r="1">
      <x:c r="A1" s="3" t="str">
        <x:v>Interviews · 每周采用意愿与阻碍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4">
      <x:c r="A4" s="12" t="str">
        <x:v>participant_id</x:v>
      </x:c>
      <x:c r="B4" s="29" t="str">
        <x:v>interview_date</x:v>
      </x:c>
      <x:c r="C4" s="29" t="str">
        <x:v>week</x:v>
      </x:c>
      <x:c r="D4" s="29" t="str">
        <x:v>outcome</x:v>
      </x:c>
      <x:c r="E4" s="29" t="str">
        <x:v>blocker_category</x:v>
      </x:c>
      <x:c r="F4" s="29" t="str">
        <x:v>satisfaction_1_5</x:v>
      </x:c>
      <x:c r="G4" s="29" t="str">
        <x:v>would_continue</x:v>
      </x:c>
      <x:c r="H4" s="29" t="str">
        <x:v>top_request</x:v>
      </x:c>
      <x:c r="I4" s="13" t="str">
        <x:v>notes_ref</x:v>
      </x:c>
    </x:row>
    <x:row r="5">
      <x:c r="A5" s="66"/>
      <x:c r="B5" s="75"/>
      <x:c r="C5" s="67"/>
      <x:c r="D5" s="67"/>
      <x:c r="E5" s="67"/>
      <x:c r="F5" s="67"/>
      <x:c r="G5" s="67"/>
      <x:c r="H5" s="67"/>
      <x:c r="I5" s="68"/>
    </x:row>
    <x:row r="6">
      <x:c r="A6" s="69"/>
      <x:c r="B6" s="76"/>
      <x:c r="C6" s="70"/>
      <x:c r="D6" s="70"/>
      <x:c r="E6" s="70"/>
      <x:c r="F6" s="70"/>
      <x:c r="G6" s="70"/>
      <x:c r="H6" s="70"/>
      <x:c r="I6" s="71"/>
    </x:row>
    <x:row r="7">
      <x:c r="A7" s="69"/>
      <x:c r="B7" s="76"/>
      <x:c r="C7" s="70"/>
      <x:c r="D7" s="70"/>
      <x:c r="E7" s="70"/>
      <x:c r="F7" s="70"/>
      <x:c r="G7" s="70"/>
      <x:c r="H7" s="70"/>
      <x:c r="I7" s="71"/>
    </x:row>
    <x:row r="8">
      <x:c r="A8" s="69"/>
      <x:c r="B8" s="76"/>
      <x:c r="C8" s="70"/>
      <x:c r="D8" s="70"/>
      <x:c r="E8" s="70"/>
      <x:c r="F8" s="70"/>
      <x:c r="G8" s="70"/>
      <x:c r="H8" s="70"/>
      <x:c r="I8" s="71"/>
    </x:row>
    <x:row r="9">
      <x:c r="A9" s="69"/>
      <x:c r="B9" s="76"/>
      <x:c r="C9" s="70"/>
      <x:c r="D9" s="70"/>
      <x:c r="E9" s="70"/>
      <x:c r="F9" s="70"/>
      <x:c r="G9" s="70"/>
      <x:c r="H9" s="70"/>
      <x:c r="I9" s="71"/>
    </x:row>
    <x:row r="10">
      <x:c r="A10" s="69"/>
      <x:c r="B10" s="76"/>
      <x:c r="C10" s="70"/>
      <x:c r="D10" s="70"/>
      <x:c r="E10" s="70"/>
      <x:c r="F10" s="70"/>
      <x:c r="G10" s="70"/>
      <x:c r="H10" s="70"/>
      <x:c r="I10" s="71"/>
    </x:row>
    <x:row r="11">
      <x:c r="A11" s="69"/>
      <x:c r="B11" s="76"/>
      <x:c r="C11" s="70"/>
      <x:c r="D11" s="70"/>
      <x:c r="E11" s="70"/>
      <x:c r="F11" s="70"/>
      <x:c r="G11" s="70"/>
      <x:c r="H11" s="70"/>
      <x:c r="I11" s="71"/>
    </x:row>
    <x:row r="12">
      <x:c r="A12" s="69"/>
      <x:c r="B12" s="76"/>
      <x:c r="C12" s="70"/>
      <x:c r="D12" s="70"/>
      <x:c r="E12" s="70"/>
      <x:c r="F12" s="70"/>
      <x:c r="G12" s="70"/>
      <x:c r="H12" s="70"/>
      <x:c r="I12" s="71"/>
    </x:row>
    <x:row r="13">
      <x:c r="A13" s="69"/>
      <x:c r="B13" s="76"/>
      <x:c r="C13" s="70"/>
      <x:c r="D13" s="70"/>
      <x:c r="E13" s="70"/>
      <x:c r="F13" s="70"/>
      <x:c r="G13" s="70"/>
      <x:c r="H13" s="70"/>
      <x:c r="I13" s="71"/>
    </x:row>
    <x:row r="14">
      <x:c r="A14" s="69"/>
      <x:c r="B14" s="76"/>
      <x:c r="C14" s="70"/>
      <x:c r="D14" s="70"/>
      <x:c r="E14" s="70"/>
      <x:c r="F14" s="70"/>
      <x:c r="G14" s="70"/>
      <x:c r="H14" s="70"/>
      <x:c r="I14" s="71"/>
    </x:row>
    <x:row r="15">
      <x:c r="A15" s="69"/>
      <x:c r="B15" s="76"/>
      <x:c r="C15" s="70"/>
      <x:c r="D15" s="70"/>
      <x:c r="E15" s="70"/>
      <x:c r="F15" s="70"/>
      <x:c r="G15" s="70"/>
      <x:c r="H15" s="70"/>
      <x:c r="I15" s="71"/>
    </x:row>
    <x:row r="16">
      <x:c r="A16" s="69"/>
      <x:c r="B16" s="76"/>
      <x:c r="C16" s="70"/>
      <x:c r="D16" s="70"/>
      <x:c r="E16" s="70"/>
      <x:c r="F16" s="70"/>
      <x:c r="G16" s="70"/>
      <x:c r="H16" s="70"/>
      <x:c r="I16" s="71"/>
    </x:row>
    <x:row r="17">
      <x:c r="A17" s="69"/>
      <x:c r="B17" s="76"/>
      <x:c r="C17" s="70"/>
      <x:c r="D17" s="70"/>
      <x:c r="E17" s="70"/>
      <x:c r="F17" s="70"/>
      <x:c r="G17" s="70"/>
      <x:c r="H17" s="70"/>
      <x:c r="I17" s="71"/>
    </x:row>
    <x:row r="18">
      <x:c r="A18" s="69"/>
      <x:c r="B18" s="76"/>
      <x:c r="C18" s="70"/>
      <x:c r="D18" s="70"/>
      <x:c r="E18" s="70"/>
      <x:c r="F18" s="70"/>
      <x:c r="G18" s="70"/>
      <x:c r="H18" s="70"/>
      <x:c r="I18" s="71"/>
    </x:row>
    <x:row r="19">
      <x:c r="A19" s="69"/>
      <x:c r="B19" s="76"/>
      <x:c r="C19" s="70"/>
      <x:c r="D19" s="70"/>
      <x:c r="E19" s="70"/>
      <x:c r="F19" s="70"/>
      <x:c r="G19" s="70"/>
      <x:c r="H19" s="70"/>
      <x:c r="I19" s="71"/>
    </x:row>
    <x:row r="20">
      <x:c r="A20" s="69"/>
      <x:c r="B20" s="76"/>
      <x:c r="C20" s="70"/>
      <x:c r="D20" s="70"/>
      <x:c r="E20" s="70"/>
      <x:c r="F20" s="70"/>
      <x:c r="G20" s="70"/>
      <x:c r="H20" s="70"/>
      <x:c r="I20" s="71"/>
    </x:row>
    <x:row r="21">
      <x:c r="A21" s="69"/>
      <x:c r="B21" s="76"/>
      <x:c r="C21" s="70"/>
      <x:c r="D21" s="70"/>
      <x:c r="E21" s="70"/>
      <x:c r="F21" s="70"/>
      <x:c r="G21" s="70"/>
      <x:c r="H21" s="70"/>
      <x:c r="I21" s="71"/>
    </x:row>
    <x:row r="22">
      <x:c r="A22" s="69"/>
      <x:c r="B22" s="76"/>
      <x:c r="C22" s="70"/>
      <x:c r="D22" s="70"/>
      <x:c r="E22" s="70"/>
      <x:c r="F22" s="70"/>
      <x:c r="G22" s="70"/>
      <x:c r="H22" s="70"/>
      <x:c r="I22" s="71"/>
    </x:row>
    <x:row r="23">
      <x:c r="A23" s="69"/>
      <x:c r="B23" s="76"/>
      <x:c r="C23" s="70"/>
      <x:c r="D23" s="70"/>
      <x:c r="E23" s="70"/>
      <x:c r="F23" s="70"/>
      <x:c r="G23" s="70"/>
      <x:c r="H23" s="70"/>
      <x:c r="I23" s="71"/>
    </x:row>
    <x:row r="24">
      <x:c r="A24" s="69"/>
      <x:c r="B24" s="76"/>
      <x:c r="C24" s="70"/>
      <x:c r="D24" s="70"/>
      <x:c r="E24" s="70"/>
      <x:c r="F24" s="70"/>
      <x:c r="G24" s="70"/>
      <x:c r="H24" s="70"/>
      <x:c r="I24" s="71"/>
    </x:row>
    <x:row r="25">
      <x:c r="A25" s="69"/>
      <x:c r="B25" s="76"/>
      <x:c r="C25" s="70"/>
      <x:c r="D25" s="70"/>
      <x:c r="E25" s="70"/>
      <x:c r="F25" s="70"/>
      <x:c r="G25" s="70"/>
      <x:c r="H25" s="70"/>
      <x:c r="I25" s="71"/>
    </x:row>
    <x:row r="26">
      <x:c r="A26" s="69"/>
      <x:c r="B26" s="76"/>
      <x:c r="C26" s="70"/>
      <x:c r="D26" s="70"/>
      <x:c r="E26" s="70"/>
      <x:c r="F26" s="70"/>
      <x:c r="G26" s="70"/>
      <x:c r="H26" s="70"/>
      <x:c r="I26" s="71"/>
    </x:row>
    <x:row r="27">
      <x:c r="A27" s="69"/>
      <x:c r="B27" s="76"/>
      <x:c r="C27" s="70"/>
      <x:c r="D27" s="70"/>
      <x:c r="E27" s="70"/>
      <x:c r="F27" s="70"/>
      <x:c r="G27" s="70"/>
      <x:c r="H27" s="70"/>
      <x:c r="I27" s="71"/>
    </x:row>
    <x:row r="28">
      <x:c r="A28" s="69"/>
      <x:c r="B28" s="76"/>
      <x:c r="C28" s="70"/>
      <x:c r="D28" s="70"/>
      <x:c r="E28" s="70"/>
      <x:c r="F28" s="70"/>
      <x:c r="G28" s="70"/>
      <x:c r="H28" s="70"/>
      <x:c r="I28" s="71"/>
    </x:row>
    <x:row r="29">
      <x:c r="A29" s="69"/>
      <x:c r="B29" s="76"/>
      <x:c r="C29" s="70"/>
      <x:c r="D29" s="70"/>
      <x:c r="E29" s="70"/>
      <x:c r="F29" s="70"/>
      <x:c r="G29" s="70"/>
      <x:c r="H29" s="70"/>
      <x:c r="I29" s="71"/>
    </x:row>
    <x:row r="30">
      <x:c r="A30" s="69"/>
      <x:c r="B30" s="76"/>
      <x:c r="C30" s="70"/>
      <x:c r="D30" s="70"/>
      <x:c r="E30" s="70"/>
      <x:c r="F30" s="70"/>
      <x:c r="G30" s="70"/>
      <x:c r="H30" s="70"/>
      <x:c r="I30" s="71"/>
    </x:row>
    <x:row r="31">
      <x:c r="A31" s="69"/>
      <x:c r="B31" s="76"/>
      <x:c r="C31" s="70"/>
      <x:c r="D31" s="70"/>
      <x:c r="E31" s="70"/>
      <x:c r="F31" s="70"/>
      <x:c r="G31" s="70"/>
      <x:c r="H31" s="70"/>
      <x:c r="I31" s="71"/>
    </x:row>
    <x:row r="32">
      <x:c r="A32" s="69"/>
      <x:c r="B32" s="76"/>
      <x:c r="C32" s="70"/>
      <x:c r="D32" s="70"/>
      <x:c r="E32" s="70"/>
      <x:c r="F32" s="70"/>
      <x:c r="G32" s="70"/>
      <x:c r="H32" s="70"/>
      <x:c r="I32" s="71"/>
    </x:row>
    <x:row r="33">
      <x:c r="A33" s="69"/>
      <x:c r="B33" s="76"/>
      <x:c r="C33" s="70"/>
      <x:c r="D33" s="70"/>
      <x:c r="E33" s="70"/>
      <x:c r="F33" s="70"/>
      <x:c r="G33" s="70"/>
      <x:c r="H33" s="70"/>
      <x:c r="I33" s="71"/>
    </x:row>
    <x:row r="34">
      <x:c r="A34" s="69"/>
      <x:c r="B34" s="76"/>
      <x:c r="C34" s="70"/>
      <x:c r="D34" s="70"/>
      <x:c r="E34" s="70"/>
      <x:c r="F34" s="70"/>
      <x:c r="G34" s="70"/>
      <x:c r="H34" s="70"/>
      <x:c r="I34" s="71"/>
    </x:row>
    <x:row r="35">
      <x:c r="A35" s="69"/>
      <x:c r="B35" s="76"/>
      <x:c r="C35" s="70"/>
      <x:c r="D35" s="70"/>
      <x:c r="E35" s="70"/>
      <x:c r="F35" s="70"/>
      <x:c r="G35" s="70"/>
      <x:c r="H35" s="70"/>
      <x:c r="I35" s="71"/>
    </x:row>
    <x:row r="36">
      <x:c r="A36" s="69"/>
      <x:c r="B36" s="76"/>
      <x:c r="C36" s="70"/>
      <x:c r="D36" s="70"/>
      <x:c r="E36" s="70"/>
      <x:c r="F36" s="70"/>
      <x:c r="G36" s="70"/>
      <x:c r="H36" s="70"/>
      <x:c r="I36" s="71"/>
    </x:row>
    <x:row r="37">
      <x:c r="A37" s="69"/>
      <x:c r="B37" s="76"/>
      <x:c r="C37" s="70"/>
      <x:c r="D37" s="70"/>
      <x:c r="E37" s="70"/>
      <x:c r="F37" s="70"/>
      <x:c r="G37" s="70"/>
      <x:c r="H37" s="70"/>
      <x:c r="I37" s="71"/>
    </x:row>
    <x:row r="38">
      <x:c r="A38" s="69"/>
      <x:c r="B38" s="76"/>
      <x:c r="C38" s="70"/>
      <x:c r="D38" s="70"/>
      <x:c r="E38" s="70"/>
      <x:c r="F38" s="70"/>
      <x:c r="G38" s="70"/>
      <x:c r="H38" s="70"/>
      <x:c r="I38" s="71"/>
    </x:row>
    <x:row r="39">
      <x:c r="A39" s="69"/>
      <x:c r="B39" s="76"/>
      <x:c r="C39" s="70"/>
      <x:c r="D39" s="70"/>
      <x:c r="E39" s="70"/>
      <x:c r="F39" s="70"/>
      <x:c r="G39" s="70"/>
      <x:c r="H39" s="70"/>
      <x:c r="I39" s="71"/>
    </x:row>
    <x:row r="40">
      <x:c r="A40" s="69"/>
      <x:c r="B40" s="76"/>
      <x:c r="C40" s="70"/>
      <x:c r="D40" s="70"/>
      <x:c r="E40" s="70"/>
      <x:c r="F40" s="70"/>
      <x:c r="G40" s="70"/>
      <x:c r="H40" s="70"/>
      <x:c r="I40" s="71"/>
    </x:row>
    <x:row r="41">
      <x:c r="A41" s="69"/>
      <x:c r="B41" s="76"/>
      <x:c r="C41" s="70"/>
      <x:c r="D41" s="70"/>
      <x:c r="E41" s="70"/>
      <x:c r="F41" s="70"/>
      <x:c r="G41" s="70"/>
      <x:c r="H41" s="70"/>
      <x:c r="I41" s="71"/>
    </x:row>
    <x:row r="42">
      <x:c r="A42" s="69"/>
      <x:c r="B42" s="76"/>
      <x:c r="C42" s="70"/>
      <x:c r="D42" s="70"/>
      <x:c r="E42" s="70"/>
      <x:c r="F42" s="70"/>
      <x:c r="G42" s="70"/>
      <x:c r="H42" s="70"/>
      <x:c r="I42" s="71"/>
    </x:row>
    <x:row r="43">
      <x:c r="A43" s="69"/>
      <x:c r="B43" s="76"/>
      <x:c r="C43" s="70"/>
      <x:c r="D43" s="70"/>
      <x:c r="E43" s="70"/>
      <x:c r="F43" s="70"/>
      <x:c r="G43" s="70"/>
      <x:c r="H43" s="70"/>
      <x:c r="I43" s="71"/>
    </x:row>
    <x:row r="44">
      <x:c r="A44" s="72"/>
      <x:c r="B44" s="77"/>
      <x:c r="C44" s="73"/>
      <x:c r="D44" s="73"/>
      <x:c r="E44" s="73"/>
      <x:c r="F44" s="73"/>
      <x:c r="G44" s="73"/>
      <x:c r="H44" s="73"/>
      <x:c r="I44" s="74"/>
    </x:row>
  </x:sheetData>
  <x:mergeCells>
    <x:mergeCell ref="A1:I2"/>
  </x:mergeCells>
  <x:dataValidations count="4">
    <x:dataValidation type="whole" operator="between" sqref="C5:C44">
      <x:formula1>1</x:formula1>
      <x:formula2>4</x:formula2>
    </x:dataValidation>
    <x:dataValidation type="list" sqref="E5:E44">
      <x:formula1>"product,data,rule,model,usability,none"</x:formula1>
    </x:dataValidation>
    <x:dataValidation type="whole" operator="between" sqref="F5:F44">
      <x:formula1>1</x:formula1>
      <x:formula2>5</x:formula2>
    </x:dataValidation>
    <x:dataValidation type="list" sqref="G5:G44">
      <x:formula1>"yes,no,unsure"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4" max="4" width="3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" t="str">
        <x:v>Dashboard · Closed Beta 发布闸门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2" t="str">
        <x:v>KPI</x:v>
      </x:c>
      <x:c r="B4" s="13" t="str">
        <x:v>Current</x:v>
      </x:c>
      <x:c r="D4" s="12" t="str">
        <x:v>Stage C gate</x:v>
      </x:c>
      <x:c r="E4" s="29"/>
      <x:c r="F4" s="29"/>
      <x:c r="G4" s="29"/>
      <x:c r="H4" s="13"/>
    </x:row>
    <x:row r="5">
      <x:c r="A5" s="78" t="str">
        <x:v>Tasks recorded</x:v>
      </x:c>
      <x:c r="B5" s="32" t="n">
        <x:f>COUNTIF('Tasks'!A5:A34,"&lt;&gt;")</x:f>
        <x:v>0</x:v>
      </x:c>
      <x:c r="D5" s="102" t="str">
        <x:v>Requirement</x:v>
      </x:c>
      <x:c r="E5" s="103" t="str">
        <x:v>Target</x:v>
      </x:c>
      <x:c r="F5" s="103" t="str">
        <x:v>Current</x:v>
      </x:c>
      <x:c r="G5" s="103" t="str">
        <x:v>Status</x:v>
      </x:c>
      <x:c r="H5" s="104" t="str">
        <x:v>Decision</x:v>
      </x:c>
    </x:row>
    <x:row r="6">
      <x:c r="A6" s="79" t="str">
        <x:v>Usable tasks</x:v>
      </x:c>
      <x:c r="B6" s="35" t="n">
        <x:f>COUNTIF('Tasks'!N5:N34,"yes")</x:f>
        <x:v>0</x:v>
      </x:c>
      <x:c r="D6" s="105" t="str">
        <x:v>Real SKUs completed</x:v>
      </x:c>
      <x:c r="E6" s="106" t="n">
        <x:v>10</x:v>
      </x:c>
      <x:c r="F6" s="106" t="n">
        <x:f>B5</x:f>
        <x:v>0</x:v>
      </x:c>
      <x:c r="G6" s="106" t="str">
        <x:f>IF(F6&gt;=E6,"pass","pending")</x:f>
        <x:v>pending</x:v>
      </x:c>
      <x:c r="H6" s="107" t="str"/>
    </x:row>
    <x:row r="7">
      <x:c r="A7" s="79" t="str">
        <x:v>Average baseline minutes</x:v>
      </x:c>
      <x:c r="B7" s="81" t="n">
        <x:f>IFERROR(AVERAGEIF('Tasks'!I5:I34,"&gt;0"),0)</x:f>
        <x:v>0</x:v>
      </x:c>
      <x:c r="D7" s="105" t="str">
        <x:v>Two reviews per task</x:v>
      </x:c>
      <x:c r="E7" s="106" t="n">
        <x:v>1</x:v>
      </x:c>
      <x:c r="F7" s="106" t="n">
        <x:f>B11</x:f>
        <x:v>0</x:v>
      </x:c>
      <x:c r="G7" s="106" t="str">
        <x:f>IF(F7&gt;=E7,"pass","pending")</x:f>
        <x:v>pending</x:v>
      </x:c>
      <x:c r="H7" s="107" t="str"/>
    </x:row>
    <x:row r="8">
      <x:c r="A8" s="79" t="str">
        <x:v>Average LocalizeFlow minutes</x:v>
      </x:c>
      <x:c r="B8" s="81" t="n">
        <x:f>IFERROR(AVERAGEIF('Tasks'!L5:L34,"&gt;0"),0)</x:f>
        <x:v>0</x:v>
      </x:c>
      <x:c r="D8" s="105" t="str">
        <x:v>Critical contradictions past gate</x:v>
      </x:c>
      <x:c r="E8" s="106" t="n">
        <x:v>0</x:v>
      </x:c>
      <x:c r="F8" s="106" t="n">
        <x:f>B10</x:f>
        <x:v>0</x:v>
      </x:c>
      <x:c r="G8" s="106" t="str">
        <x:f>IF(F8=E8,"pass","STOP")</x:f>
        <x:v>pass</x:v>
      </x:c>
      <x:c r="H8" s="107" t="str"/>
    </x:row>
    <x:row r="9">
      <x:c r="A9" s="79" t="str">
        <x:v>Average modifications</x:v>
      </x:c>
      <x:c r="B9" s="81" t="n">
        <x:f>IFERROR(AVERAGEIF('Tasks'!M5:M34,"&gt;=0"),0)</x:f>
        <x:v>0</x:v>
      </x:c>
      <x:c r="D9" s="105" t="str">
        <x:v>en-US and es-MX reported separately</x:v>
      </x:c>
      <x:c r="E9" s="106" t="str">
        <x:v>required</x:v>
      </x:c>
      <x:c r="F9" s="106" t="str">
        <x:v>manual check</x:v>
      </x:c>
      <x:c r="G9" s="106" t="str">
        <x:v>pending</x:v>
      </x:c>
      <x:c r="H9" s="107" t="str"/>
    </x:row>
    <x:row r="10">
      <x:c r="A10" s="79" t="str">
        <x:v>Critical contradictions</x:v>
      </x:c>
      <x:c r="B10" s="35" t="n">
        <x:f>COUNTIF('Reviews'!K5:K64,"yes")</x:f>
        <x:v>0</x:v>
      </x:c>
      <x:c r="D10" s="108" t="str">
        <x:v>Adoption willingness and blockers</x:v>
      </x:c>
      <x:c r="E10" s="109" t="str">
        <x:v>required</x:v>
      </x:c>
      <x:c r="F10" s="109" t="str">
        <x:v>manual check</x:v>
      </x:c>
      <x:c r="G10" s="109" t="str">
        <x:v>pending</x:v>
      </x:c>
      <x:c r="H10" s="110" t="str"/>
    </x:row>
    <x:row r="11">
      <x:c r="A11" s="80" t="str">
        <x:v>Review coverage</x:v>
      </x:c>
      <x:c r="B11" s="82" t="n">
        <x:f>IFERROR(COUNTIF('Reviews'!A5:A64,"&lt;&gt;")/(MAX(1,COUNTIF('Tasks'!A5:A34,"&lt;&gt;")*2)),0)</x:f>
        <x:v>0</x:v>
      </x:c>
    </x:row>
    <x:row r="13">
      <x:c r="A13" s="129" t="str">
        <x:v>本仪表盘用于阶段闸门，不证明统计显著性或平台批准。只有真实参与者、真实授权 SKU 与独立评审记录才能填充；关键事实矛盾越过导出闸门时必须停止 Beta。</x:v>
      </x:c>
      <x:c r="B13" s="130"/>
      <x:c r="C13" s="130"/>
      <x:c r="D13" s="130"/>
      <x:c r="E13" s="130"/>
      <x:c r="F13" s="130"/>
      <x:c r="G13" s="130"/>
      <x:c r="H13" s="131"/>
    </x:row>
    <x:row r="14">
      <x:c r="A14" s="132"/>
      <x:c r="B14" s="133"/>
      <x:c r="C14" s="133"/>
      <x:c r="D14" s="133"/>
      <x:c r="E14" s="133"/>
      <x:c r="F14" s="133"/>
      <x:c r="G14" s="133"/>
      <x:c r="H14" s="134"/>
    </x:row>
    <x:row r="15">
      <x:c r="A15" s="135"/>
      <x:c r="B15" s="136"/>
      <x:c r="C15" s="136"/>
      <x:c r="D15" s="136"/>
      <x:c r="E15" s="136"/>
      <x:c r="F15" s="136"/>
      <x:c r="G15" s="136"/>
      <x:c r="H15" s="137"/>
    </x:row>
  </x:sheetData>
  <x:mergeCells>
    <x:mergeCell ref="A1:H2"/>
    <x:mergeCell ref="D4:H4"/>
    <x:mergeCell ref="A13:H15"/>
  </x:mergeCells>
  <x:conditionalFormatting sqref="G6:G10">
    <x:cfRule type="containsText" dxfId="3" priority="1" operator="containsText" text="pass"/>
    <x:cfRule type="containsText" dxfId="4" priority="2" operator="containsText" text="STOP"/>
  </x:conditionalFormatting>
  <x:pageMargins left="0.7" right="0.7" top="0.75" bottom="0.75" header="0.3" footer="0.3"/>
</x:worksheet>
</file>